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格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000%"/>
    <numFmt numFmtId="166" formatCode="+#,##0;-#,##0;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1F4E79"/>
      <sz val="10"/>
    </font>
    <font>
      <b val="1"/>
      <color rgb="00000000"/>
      <sz val="10"/>
    </font>
    <font>
      <color rgb="00000000"/>
      <sz val="10"/>
    </font>
    <font>
      <i val="1"/>
      <color rgb="00888888"/>
      <sz val="8"/>
    </font>
    <font>
      <b val="1"/>
      <color rgb="00FFFFFF"/>
      <sz val="10"/>
    </font>
    <font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ACD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5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4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FFFF00"/>
        </patternFill>
      </fill>
    </dxf>
    <dxf>
      <fill>
        <patternFill patternType="solid">
          <fgColor rgb="00FFA500"/>
        </patternFill>
      </fill>
    </dxf>
    <dxf>
      <fill>
        <patternFill patternType="solid">
          <fgColor rgb="00FF6B6B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14" customWidth="1" min="4" max="4"/>
    <col width="15" customWidth="1" min="5" max="5"/>
    <col width="16" customWidth="1" min="6" max="6"/>
    <col width="13" customWidth="1" min="7" max="7"/>
    <col width="16" customWidth="1" min="8" max="8"/>
    <col width="14" customWidth="1" min="9" max="9"/>
    <col width="16" customWidth="1" min="10" max="10"/>
    <col width="14" customWidth="1" min="11" max="11"/>
    <col width="18" customWidth="1" min="12" max="12"/>
    <col width="14" customWidth="1" min="13" max="13"/>
    <col width="16" customWidth="1" min="14" max="14"/>
  </cols>
  <sheetData>
    <row r="1" ht="38" customHeight="1">
      <c r="A1" s="1" t="inlineStr">
        <is>
          <t>网格交易计算器  ·  Grid Trading Calculator</t>
        </is>
      </c>
    </row>
    <row r="2" ht="20" customHeight="1">
      <c r="A2" s="2" t="inlineStr">
        <is>
          <t>▶  修改下方黄色单元格，所有列自动重算   |   Edit yellow cells — the entire table auto-recalculates</t>
        </is>
      </c>
    </row>
    <row r="3" ht="18" customHeight="1">
      <c r="A3" s="3" t="inlineStr">
        <is>
          <t>━━  参数设置  Parameters  ━━</t>
        </is>
      </c>
    </row>
    <row r="4" ht="20" customHeight="1">
      <c r="A4" s="4" t="inlineStr">
        <is>
          <t>标的名称  Stock Name</t>
        </is>
      </c>
      <c r="B4" s="5" t="inlineStr">
        <is>
          <t>泰达股份</t>
        </is>
      </c>
    </row>
    <row r="5" ht="20" customHeight="1">
      <c r="A5" s="4" t="inlineStr">
        <is>
          <t>当前价格  Current Price  (元)</t>
        </is>
      </c>
      <c r="B5" s="6" t="n">
        <v>4.1</v>
      </c>
    </row>
    <row r="6" ht="20" customHeight="1">
      <c r="A6" s="4" t="inlineStr">
        <is>
          <t>网格间距  Grid Interval  (元)</t>
        </is>
      </c>
      <c r="B6" s="6" t="n">
        <v>0.2</v>
      </c>
    </row>
    <row r="7" ht="20" customHeight="1">
      <c r="A7" s="4" t="inlineStr">
        <is>
          <t>每格交易股数  Shares per Grid  (股)</t>
        </is>
      </c>
      <c r="B7" s="7" t="n">
        <v>1000</v>
      </c>
    </row>
    <row r="8" ht="20" customHeight="1">
      <c r="A8" s="4" t="inlineStr">
        <is>
          <t>固定手续费  Fixed Fee  (元/笔)</t>
        </is>
      </c>
      <c r="B8" s="8" t="n">
        <v>10</v>
      </c>
    </row>
    <row r="9" ht="20" customHeight="1">
      <c r="A9" s="4" t="inlineStr">
        <is>
          <t>比例费率  Fee Rate  (万分之一=0.0001)</t>
        </is>
      </c>
      <c r="B9" s="9" t="n">
        <v>0.0001</v>
      </c>
    </row>
    <row r="10" ht="20" customHeight="1">
      <c r="A10" s="4" t="inlineStr">
        <is>
          <t>初始持仓  Initial Shares  (股)</t>
        </is>
      </c>
      <c r="B10" s="7" t="n">
        <v>5000</v>
      </c>
    </row>
    <row r="11" ht="20" customHeight="1">
      <c r="A11" s="4" t="inlineStr">
        <is>
          <t>网格上限  Upper Limit  (元)</t>
        </is>
      </c>
      <c r="B11" s="6" t="n">
        <v>5</v>
      </c>
    </row>
    <row r="12" ht="20" customHeight="1">
      <c r="A12" s="4" t="inlineStr">
        <is>
          <t>网格下限  Lower Limit  (元)</t>
        </is>
      </c>
      <c r="B12" s="6" t="n">
        <v>3.5</v>
      </c>
    </row>
    <row r="13" ht="20" customHeight="1">
      <c r="A13" s="4" t="inlineStr">
        <is>
          <t>初始资金  Initial Capital  (元)</t>
        </is>
      </c>
      <c r="B13" s="7" t="n">
        <v>50000</v>
      </c>
    </row>
    <row r="14" ht="14" customHeight="1">
      <c r="A14" s="10" t="inlineStr">
        <is>
          <t xml:space="preserve">  ↑  黄色单元格为可修改的输入参数   |   Yellow cells are editable — formulas update automatically</t>
        </is>
      </c>
    </row>
    <row r="15" ht="18" customHeight="1">
      <c r="A15" s="3" t="inlineStr">
        <is>
          <t>━━  汇总统计  Summary  ━━</t>
        </is>
      </c>
    </row>
    <row r="16" ht="20" customHeight="1">
      <c r="A16" s="4" t="inlineStr">
        <is>
          <t>总网格层数  Total Grid Levels</t>
        </is>
      </c>
      <c r="B16" s="11">
        <f>SUMPRODUCT((B25:B124&lt;&gt;"")*1)</f>
        <v/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3" t="n"/>
    </row>
    <row r="17" ht="20" customHeight="1">
      <c r="A17" s="4" t="inlineStr">
        <is>
          <t>单格净利润  Net Profit per Grid  (元)</t>
        </is>
      </c>
      <c r="B17" s="14">
        <f>$B$6*$B$7-2*MAX($B$8,$B$5*$B$7*$B$9)</f>
        <v/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3" t="n"/>
    </row>
    <row r="18" ht="20" customHeight="1">
      <c r="A18" s="4" t="inlineStr">
        <is>
          <t>最低所需资金  Min Required Capital  (元)</t>
        </is>
      </c>
      <c r="B18" s="11">
        <f>$B$12*$B$7*COUNTIF(C25:C124,"BUY")</f>
        <v/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3" t="n"/>
    </row>
    <row r="19" ht="20" customHeight="1">
      <c r="A19" s="4" t="inlineStr">
        <is>
          <t>资金充裕度  Capital Sufficiency</t>
        </is>
      </c>
      <c r="B19" s="15">
        <f>IF($B$13&gt;=B18,"✓ 充裕  余额 "&amp;TEXT($B$13-B18,"#,##0")&amp;" 元","✗ 不足  缺口 "&amp;TEXT(B18-$B$13,"#,##0")&amp;" 元")</f>
        <v/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3" t="n"/>
    </row>
    <row r="20" ht="20" customHeight="1">
      <c r="A20" s="4" t="inlineStr">
        <is>
          <t>盈亏平衡振荡次数  Break-even Oscillations</t>
        </is>
      </c>
      <c r="B20" s="15">
        <f>IF(B17&lt;=0,"⚠ 单格净利为负，无法计算",TEXT(CEILING(SUMIF(B25:B124,"&lt;&gt;",F25:F124)*2/B17,1),"0")&amp;" 次完整振荡")</f>
        <v/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3" t="n"/>
    </row>
    <row r="21" ht="20" customHeight="1">
      <c r="A21" s="4" t="inlineStr">
        <is>
          <t>A股T+1提示  T+1 Rule</t>
        </is>
      </c>
      <c r="B21" s="15" t="inlineStr">
        <is>
          <t>当日买入的股票不可当日卖出   /   Shares bought today cannot be sold on the same day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3" t="n"/>
    </row>
    <row r="22" ht="8" customHeight="1"/>
    <row r="23" ht="18" customHeight="1">
      <c r="A23" s="3" t="inlineStr">
        <is>
          <t>━━  网格明细  Grid Detail  ━━</t>
        </is>
      </c>
    </row>
    <row r="24" ht="44" customHeight="1">
      <c r="A24" s="16" t="inlineStr">
        <is>
          <t>序号
No.</t>
        </is>
      </c>
      <c r="B24" s="16" t="inlineStr">
        <is>
          <t>网格价格
Price (元)</t>
        </is>
      </c>
      <c r="C24" s="16" t="inlineStr">
        <is>
          <t>操作
Action</t>
        </is>
      </c>
      <c r="D24" s="16" t="inlineStr">
        <is>
          <t>交易股数
Shares</t>
        </is>
      </c>
      <c r="E24" s="16" t="inlineStr">
        <is>
          <t>成交金额
Amount (元)</t>
        </is>
      </c>
      <c r="F24" s="16" t="inlineStr">
        <is>
          <t>单腿手续费
Comm. (元)</t>
        </is>
      </c>
      <c r="G24" s="16" t="inlineStr">
        <is>
          <t>持仓变化
ΔShares</t>
        </is>
      </c>
      <c r="H24" s="16" t="inlineStr">
        <is>
          <t>累计持仓
Cum.Shares</t>
        </is>
      </c>
      <c r="I24" s="16" t="inlineStr">
        <is>
          <t>持仓均价
Avg Cost (元)</t>
        </is>
      </c>
      <c r="J24" s="16" t="inlineStr">
        <is>
          <t>持仓市值
Mkt Val (元)</t>
        </is>
      </c>
      <c r="K24" s="16" t="inlineStr">
        <is>
          <t>单格毛利
Gross (元)</t>
        </is>
      </c>
      <c r="L24" s="16" t="inlineStr">
        <is>
          <t>双边手续费
Total Comm.</t>
        </is>
      </c>
      <c r="M24" s="16" t="inlineStr">
        <is>
          <t>单格净利
Net (元)</t>
        </is>
      </c>
      <c r="N24" s="16" t="inlineStr">
        <is>
          <t>累计盈亏
Cum.P&amp;L (元)</t>
        </is>
      </c>
    </row>
    <row r="25" ht="17" customHeight="1">
      <c r="A25" s="17">
        <f>IF(B25="","",ROW()-24)</f>
        <v/>
      </c>
      <c r="B25" s="18">
        <f>IF(ROUND($B$12+(ROW()-25)*$B$6,4)&lt;=$B$11,ROUND($B$12+(ROW()-25)*$B$6,4),"")</f>
        <v/>
      </c>
      <c r="C25" s="17">
        <f>IF(B25="","",IF(ROUND(B25,4)&lt;ROUND($B$5,4),"BUY",IF(ROUND(B25,4)&gt;ROUND($B$5,4),"SELL","CURRENT")))</f>
        <v/>
      </c>
      <c r="D25" s="19">
        <f>IF(B25="","",$B$7)</f>
        <v/>
      </c>
      <c r="E25" s="20">
        <f>IF(B25="","",B25*$B$7)</f>
        <v/>
      </c>
      <c r="F25" s="20">
        <f>IF(B25="","",MAX($B$8,E25*$B$9))</f>
        <v/>
      </c>
      <c r="G25" s="21">
        <f>IF(B25="","",IF(C25="BUY",$B$7,IF(C25="SELL",-$B$7,0)))</f>
        <v/>
      </c>
      <c r="H25" s="19">
        <f>IF(B25="","",$B$10+$B$7*(ROUND(($B$5-$B$12)/$B$6,0)-(ROW()-25)))</f>
        <v/>
      </c>
      <c r="I25" s="18">
        <f>IF(B25="","",IF((ROUND(($B$5-$B$12)/$B$6,0)-(ROW()-25))&gt;=0,($B$10*$B$5+$B$7*(ROUND(($B$5-$B$12)/$B$6,0)-(ROW()-25))*($B$5-$B$6*((ROUND(($B$5-$B$12)/$B$6,0)-(ROW()-25))+1)/2))/($B$10+$B$7*(ROUND(($B$5-$B$12)/$B$6,0)-(ROW()-25))),$B$5))</f>
        <v/>
      </c>
      <c r="J25" s="20">
        <f>IF(B25="","",H25*B25)</f>
        <v/>
      </c>
      <c r="K25" s="20">
        <f>IF(B25="","",IF(C25="CURRENT","N/A",$B$6*$B$7))</f>
        <v/>
      </c>
      <c r="L25" s="20">
        <f>IF(B25="","",IF(C25="CURRENT","N/A",2*MAX($B$8,E25*$B$9)))</f>
        <v/>
      </c>
      <c r="M25" s="20">
        <f>IF(B25="","",IF(C25="CURRENT","N/A",K25-L25))</f>
        <v/>
      </c>
      <c r="N25" s="20">
        <f>IF(B25="","",IF(ISNUMBER(M25),M25,0))</f>
        <v/>
      </c>
    </row>
    <row r="26" ht="17" customHeight="1">
      <c r="A26" s="17">
        <f>IF(B26="","",ROW()-24)</f>
        <v/>
      </c>
      <c r="B26" s="18">
        <f>IF(ROUND($B$12+(ROW()-25)*$B$6,4)&lt;=$B$11,ROUND($B$12+(ROW()-25)*$B$6,4),"")</f>
        <v/>
      </c>
      <c r="C26" s="17">
        <f>IF(B26="","",IF(ROUND(B26,4)&lt;ROUND($B$5,4),"BUY",IF(ROUND(B26,4)&gt;ROUND($B$5,4),"SELL","CURRENT")))</f>
        <v/>
      </c>
      <c r="D26" s="19">
        <f>IF(B26="","",$B$7)</f>
        <v/>
      </c>
      <c r="E26" s="20">
        <f>IF(B26="","",B26*$B$7)</f>
        <v/>
      </c>
      <c r="F26" s="20">
        <f>IF(B26="","",MAX($B$8,E26*$B$9))</f>
        <v/>
      </c>
      <c r="G26" s="21">
        <f>IF(B26="","",IF(C26="BUY",$B$7,IF(C26="SELL",-$B$7,0)))</f>
        <v/>
      </c>
      <c r="H26" s="19">
        <f>IF(B26="","",$B$10+$B$7*(ROUND(($B$5-$B$12)/$B$6,0)-(ROW()-25)))</f>
        <v/>
      </c>
      <c r="I26" s="18">
        <f>IF(B26="","",IF((ROUND(($B$5-$B$12)/$B$6,0)-(ROW()-25))&gt;=0,($B$10*$B$5+$B$7*(ROUND(($B$5-$B$12)/$B$6,0)-(ROW()-25))*($B$5-$B$6*((ROUND(($B$5-$B$12)/$B$6,0)-(ROW()-25))+1)/2))/($B$10+$B$7*(ROUND(($B$5-$B$12)/$B$6,0)-(ROW()-25))),$B$5))</f>
        <v/>
      </c>
      <c r="J26" s="20">
        <f>IF(B26="","",H26*B26)</f>
        <v/>
      </c>
      <c r="K26" s="20">
        <f>IF(B26="","",IF(C26="CURRENT","N/A",$B$6*$B$7))</f>
        <v/>
      </c>
      <c r="L26" s="20">
        <f>IF(B26="","",IF(C26="CURRENT","N/A",2*MAX($B$8,E26*$B$9)))</f>
        <v/>
      </c>
      <c r="M26" s="20">
        <f>IF(B26="","",IF(C26="CURRENT","N/A",K26-L26))</f>
        <v/>
      </c>
      <c r="N26" s="20">
        <f>IF(B26="","",N25+IF(ISNUMBER(M26),M26,0))</f>
        <v/>
      </c>
    </row>
    <row r="27" ht="17" customHeight="1">
      <c r="A27" s="17">
        <f>IF(B27="","",ROW()-24)</f>
        <v/>
      </c>
      <c r="B27" s="18">
        <f>IF(ROUND($B$12+(ROW()-25)*$B$6,4)&lt;=$B$11,ROUND($B$12+(ROW()-25)*$B$6,4),"")</f>
        <v/>
      </c>
      <c r="C27" s="17">
        <f>IF(B27="","",IF(ROUND(B27,4)&lt;ROUND($B$5,4),"BUY",IF(ROUND(B27,4)&gt;ROUND($B$5,4),"SELL","CURRENT")))</f>
        <v/>
      </c>
      <c r="D27" s="19">
        <f>IF(B27="","",$B$7)</f>
        <v/>
      </c>
      <c r="E27" s="20">
        <f>IF(B27="","",B27*$B$7)</f>
        <v/>
      </c>
      <c r="F27" s="20">
        <f>IF(B27="","",MAX($B$8,E27*$B$9))</f>
        <v/>
      </c>
      <c r="G27" s="21">
        <f>IF(B27="","",IF(C27="BUY",$B$7,IF(C27="SELL",-$B$7,0)))</f>
        <v/>
      </c>
      <c r="H27" s="19">
        <f>IF(B27="","",$B$10+$B$7*(ROUND(($B$5-$B$12)/$B$6,0)-(ROW()-25)))</f>
        <v/>
      </c>
      <c r="I27" s="18">
        <f>IF(B27="","",IF((ROUND(($B$5-$B$12)/$B$6,0)-(ROW()-25))&gt;=0,($B$10*$B$5+$B$7*(ROUND(($B$5-$B$12)/$B$6,0)-(ROW()-25))*($B$5-$B$6*((ROUND(($B$5-$B$12)/$B$6,0)-(ROW()-25))+1)/2))/($B$10+$B$7*(ROUND(($B$5-$B$12)/$B$6,0)-(ROW()-25))),$B$5))</f>
        <v/>
      </c>
      <c r="J27" s="20">
        <f>IF(B27="","",H27*B27)</f>
        <v/>
      </c>
      <c r="K27" s="20">
        <f>IF(B27="","",IF(C27="CURRENT","N/A",$B$6*$B$7))</f>
        <v/>
      </c>
      <c r="L27" s="20">
        <f>IF(B27="","",IF(C27="CURRENT","N/A",2*MAX($B$8,E27*$B$9)))</f>
        <v/>
      </c>
      <c r="M27" s="20">
        <f>IF(B27="","",IF(C27="CURRENT","N/A",K27-L27))</f>
        <v/>
      </c>
      <c r="N27" s="20">
        <f>IF(B27="","",N26+IF(ISNUMBER(M27),M27,0))</f>
        <v/>
      </c>
    </row>
    <row r="28" ht="17" customHeight="1">
      <c r="A28" s="17">
        <f>IF(B28="","",ROW()-24)</f>
        <v/>
      </c>
      <c r="B28" s="18">
        <f>IF(ROUND($B$12+(ROW()-25)*$B$6,4)&lt;=$B$11,ROUND($B$12+(ROW()-25)*$B$6,4),"")</f>
        <v/>
      </c>
      <c r="C28" s="17">
        <f>IF(B28="","",IF(ROUND(B28,4)&lt;ROUND($B$5,4),"BUY",IF(ROUND(B28,4)&gt;ROUND($B$5,4),"SELL","CURRENT")))</f>
        <v/>
      </c>
      <c r="D28" s="19">
        <f>IF(B28="","",$B$7)</f>
        <v/>
      </c>
      <c r="E28" s="20">
        <f>IF(B28="","",B28*$B$7)</f>
        <v/>
      </c>
      <c r="F28" s="20">
        <f>IF(B28="","",MAX($B$8,E28*$B$9))</f>
        <v/>
      </c>
      <c r="G28" s="21">
        <f>IF(B28="","",IF(C28="BUY",$B$7,IF(C28="SELL",-$B$7,0)))</f>
        <v/>
      </c>
      <c r="H28" s="19">
        <f>IF(B28="","",$B$10+$B$7*(ROUND(($B$5-$B$12)/$B$6,0)-(ROW()-25)))</f>
        <v/>
      </c>
      <c r="I28" s="18">
        <f>IF(B28="","",IF((ROUND(($B$5-$B$12)/$B$6,0)-(ROW()-25))&gt;=0,($B$10*$B$5+$B$7*(ROUND(($B$5-$B$12)/$B$6,0)-(ROW()-25))*($B$5-$B$6*((ROUND(($B$5-$B$12)/$B$6,0)-(ROW()-25))+1)/2))/($B$10+$B$7*(ROUND(($B$5-$B$12)/$B$6,0)-(ROW()-25))),$B$5))</f>
        <v/>
      </c>
      <c r="J28" s="20">
        <f>IF(B28="","",H28*B28)</f>
        <v/>
      </c>
      <c r="K28" s="20">
        <f>IF(B28="","",IF(C28="CURRENT","N/A",$B$6*$B$7))</f>
        <v/>
      </c>
      <c r="L28" s="20">
        <f>IF(B28="","",IF(C28="CURRENT","N/A",2*MAX($B$8,E28*$B$9)))</f>
        <v/>
      </c>
      <c r="M28" s="20">
        <f>IF(B28="","",IF(C28="CURRENT","N/A",K28-L28))</f>
        <v/>
      </c>
      <c r="N28" s="20">
        <f>IF(B28="","",N27+IF(ISNUMBER(M28),M28,0))</f>
        <v/>
      </c>
    </row>
    <row r="29" ht="17" customHeight="1">
      <c r="A29" s="17">
        <f>IF(B29="","",ROW()-24)</f>
        <v/>
      </c>
      <c r="B29" s="18">
        <f>IF(ROUND($B$12+(ROW()-25)*$B$6,4)&lt;=$B$11,ROUND($B$12+(ROW()-25)*$B$6,4),"")</f>
        <v/>
      </c>
      <c r="C29" s="17">
        <f>IF(B29="","",IF(ROUND(B29,4)&lt;ROUND($B$5,4),"BUY",IF(ROUND(B29,4)&gt;ROUND($B$5,4),"SELL","CURRENT")))</f>
        <v/>
      </c>
      <c r="D29" s="19">
        <f>IF(B29="","",$B$7)</f>
        <v/>
      </c>
      <c r="E29" s="20">
        <f>IF(B29="","",B29*$B$7)</f>
        <v/>
      </c>
      <c r="F29" s="20">
        <f>IF(B29="","",MAX($B$8,E29*$B$9))</f>
        <v/>
      </c>
      <c r="G29" s="21">
        <f>IF(B29="","",IF(C29="BUY",$B$7,IF(C29="SELL",-$B$7,0)))</f>
        <v/>
      </c>
      <c r="H29" s="19">
        <f>IF(B29="","",$B$10+$B$7*(ROUND(($B$5-$B$12)/$B$6,0)-(ROW()-25)))</f>
        <v/>
      </c>
      <c r="I29" s="18">
        <f>IF(B29="","",IF((ROUND(($B$5-$B$12)/$B$6,0)-(ROW()-25))&gt;=0,($B$10*$B$5+$B$7*(ROUND(($B$5-$B$12)/$B$6,0)-(ROW()-25))*($B$5-$B$6*((ROUND(($B$5-$B$12)/$B$6,0)-(ROW()-25))+1)/2))/($B$10+$B$7*(ROUND(($B$5-$B$12)/$B$6,0)-(ROW()-25))),$B$5))</f>
        <v/>
      </c>
      <c r="J29" s="20">
        <f>IF(B29="","",H29*B29)</f>
        <v/>
      </c>
      <c r="K29" s="20">
        <f>IF(B29="","",IF(C29="CURRENT","N/A",$B$6*$B$7))</f>
        <v/>
      </c>
      <c r="L29" s="20">
        <f>IF(B29="","",IF(C29="CURRENT","N/A",2*MAX($B$8,E29*$B$9)))</f>
        <v/>
      </c>
      <c r="M29" s="20">
        <f>IF(B29="","",IF(C29="CURRENT","N/A",K29-L29))</f>
        <v/>
      </c>
      <c r="N29" s="20">
        <f>IF(B29="","",N28+IF(ISNUMBER(M29),M29,0))</f>
        <v/>
      </c>
    </row>
    <row r="30" ht="17" customHeight="1">
      <c r="A30" s="17">
        <f>IF(B30="","",ROW()-24)</f>
        <v/>
      </c>
      <c r="B30" s="18">
        <f>IF(ROUND($B$12+(ROW()-25)*$B$6,4)&lt;=$B$11,ROUND($B$12+(ROW()-25)*$B$6,4),"")</f>
        <v/>
      </c>
      <c r="C30" s="17">
        <f>IF(B30="","",IF(ROUND(B30,4)&lt;ROUND($B$5,4),"BUY",IF(ROUND(B30,4)&gt;ROUND($B$5,4),"SELL","CURRENT")))</f>
        <v/>
      </c>
      <c r="D30" s="19">
        <f>IF(B30="","",$B$7)</f>
        <v/>
      </c>
      <c r="E30" s="20">
        <f>IF(B30="","",B30*$B$7)</f>
        <v/>
      </c>
      <c r="F30" s="20">
        <f>IF(B30="","",MAX($B$8,E30*$B$9))</f>
        <v/>
      </c>
      <c r="G30" s="21">
        <f>IF(B30="","",IF(C30="BUY",$B$7,IF(C30="SELL",-$B$7,0)))</f>
        <v/>
      </c>
      <c r="H30" s="19">
        <f>IF(B30="","",$B$10+$B$7*(ROUND(($B$5-$B$12)/$B$6,0)-(ROW()-25)))</f>
        <v/>
      </c>
      <c r="I30" s="18">
        <f>IF(B30="","",IF((ROUND(($B$5-$B$12)/$B$6,0)-(ROW()-25))&gt;=0,($B$10*$B$5+$B$7*(ROUND(($B$5-$B$12)/$B$6,0)-(ROW()-25))*($B$5-$B$6*((ROUND(($B$5-$B$12)/$B$6,0)-(ROW()-25))+1)/2))/($B$10+$B$7*(ROUND(($B$5-$B$12)/$B$6,0)-(ROW()-25))),$B$5))</f>
        <v/>
      </c>
      <c r="J30" s="20">
        <f>IF(B30="","",H30*B30)</f>
        <v/>
      </c>
      <c r="K30" s="20">
        <f>IF(B30="","",IF(C30="CURRENT","N/A",$B$6*$B$7))</f>
        <v/>
      </c>
      <c r="L30" s="20">
        <f>IF(B30="","",IF(C30="CURRENT","N/A",2*MAX($B$8,E30*$B$9)))</f>
        <v/>
      </c>
      <c r="M30" s="20">
        <f>IF(B30="","",IF(C30="CURRENT","N/A",K30-L30))</f>
        <v/>
      </c>
      <c r="N30" s="20">
        <f>IF(B30="","",N29+IF(ISNUMBER(M30),M30,0))</f>
        <v/>
      </c>
    </row>
    <row r="31" ht="17" customHeight="1">
      <c r="A31" s="17">
        <f>IF(B31="","",ROW()-24)</f>
        <v/>
      </c>
      <c r="B31" s="18">
        <f>IF(ROUND($B$12+(ROW()-25)*$B$6,4)&lt;=$B$11,ROUND($B$12+(ROW()-25)*$B$6,4),"")</f>
        <v/>
      </c>
      <c r="C31" s="17">
        <f>IF(B31="","",IF(ROUND(B31,4)&lt;ROUND($B$5,4),"BUY",IF(ROUND(B31,4)&gt;ROUND($B$5,4),"SELL","CURRENT")))</f>
        <v/>
      </c>
      <c r="D31" s="19">
        <f>IF(B31="","",$B$7)</f>
        <v/>
      </c>
      <c r="E31" s="20">
        <f>IF(B31="","",B31*$B$7)</f>
        <v/>
      </c>
      <c r="F31" s="20">
        <f>IF(B31="","",MAX($B$8,E31*$B$9))</f>
        <v/>
      </c>
      <c r="G31" s="21">
        <f>IF(B31="","",IF(C31="BUY",$B$7,IF(C31="SELL",-$B$7,0)))</f>
        <v/>
      </c>
      <c r="H31" s="19">
        <f>IF(B31="","",$B$10+$B$7*(ROUND(($B$5-$B$12)/$B$6,0)-(ROW()-25)))</f>
        <v/>
      </c>
      <c r="I31" s="18">
        <f>IF(B31="","",IF((ROUND(($B$5-$B$12)/$B$6,0)-(ROW()-25))&gt;=0,($B$10*$B$5+$B$7*(ROUND(($B$5-$B$12)/$B$6,0)-(ROW()-25))*($B$5-$B$6*((ROUND(($B$5-$B$12)/$B$6,0)-(ROW()-25))+1)/2))/($B$10+$B$7*(ROUND(($B$5-$B$12)/$B$6,0)-(ROW()-25))),$B$5))</f>
        <v/>
      </c>
      <c r="J31" s="20">
        <f>IF(B31="","",H31*B31)</f>
        <v/>
      </c>
      <c r="K31" s="20">
        <f>IF(B31="","",IF(C31="CURRENT","N/A",$B$6*$B$7))</f>
        <v/>
      </c>
      <c r="L31" s="20">
        <f>IF(B31="","",IF(C31="CURRENT","N/A",2*MAX($B$8,E31*$B$9)))</f>
        <v/>
      </c>
      <c r="M31" s="20">
        <f>IF(B31="","",IF(C31="CURRENT","N/A",K31-L31))</f>
        <v/>
      </c>
      <c r="N31" s="20">
        <f>IF(B31="","",N30+IF(ISNUMBER(M31),M31,0))</f>
        <v/>
      </c>
    </row>
    <row r="32" ht="17" customHeight="1">
      <c r="A32" s="17">
        <f>IF(B32="","",ROW()-24)</f>
        <v/>
      </c>
      <c r="B32" s="18">
        <f>IF(ROUND($B$12+(ROW()-25)*$B$6,4)&lt;=$B$11,ROUND($B$12+(ROW()-25)*$B$6,4),"")</f>
        <v/>
      </c>
      <c r="C32" s="17">
        <f>IF(B32="","",IF(ROUND(B32,4)&lt;ROUND($B$5,4),"BUY",IF(ROUND(B32,4)&gt;ROUND($B$5,4),"SELL","CURRENT")))</f>
        <v/>
      </c>
      <c r="D32" s="19">
        <f>IF(B32="","",$B$7)</f>
        <v/>
      </c>
      <c r="E32" s="20">
        <f>IF(B32="","",B32*$B$7)</f>
        <v/>
      </c>
      <c r="F32" s="20">
        <f>IF(B32="","",MAX($B$8,E32*$B$9))</f>
        <v/>
      </c>
      <c r="G32" s="21">
        <f>IF(B32="","",IF(C32="BUY",$B$7,IF(C32="SELL",-$B$7,0)))</f>
        <v/>
      </c>
      <c r="H32" s="19">
        <f>IF(B32="","",$B$10+$B$7*(ROUND(($B$5-$B$12)/$B$6,0)-(ROW()-25)))</f>
        <v/>
      </c>
      <c r="I32" s="18">
        <f>IF(B32="","",IF((ROUND(($B$5-$B$12)/$B$6,0)-(ROW()-25))&gt;=0,($B$10*$B$5+$B$7*(ROUND(($B$5-$B$12)/$B$6,0)-(ROW()-25))*($B$5-$B$6*((ROUND(($B$5-$B$12)/$B$6,0)-(ROW()-25))+1)/2))/($B$10+$B$7*(ROUND(($B$5-$B$12)/$B$6,0)-(ROW()-25))),$B$5))</f>
        <v/>
      </c>
      <c r="J32" s="20">
        <f>IF(B32="","",H32*B32)</f>
        <v/>
      </c>
      <c r="K32" s="20">
        <f>IF(B32="","",IF(C32="CURRENT","N/A",$B$6*$B$7))</f>
        <v/>
      </c>
      <c r="L32" s="20">
        <f>IF(B32="","",IF(C32="CURRENT","N/A",2*MAX($B$8,E32*$B$9)))</f>
        <v/>
      </c>
      <c r="M32" s="20">
        <f>IF(B32="","",IF(C32="CURRENT","N/A",K32-L32))</f>
        <v/>
      </c>
      <c r="N32" s="20">
        <f>IF(B32="","",N31+IF(ISNUMBER(M32),M32,0))</f>
        <v/>
      </c>
    </row>
    <row r="33" ht="17" customHeight="1">
      <c r="A33" s="17">
        <f>IF(B33="","",ROW()-24)</f>
        <v/>
      </c>
      <c r="B33" s="18">
        <f>IF(ROUND($B$12+(ROW()-25)*$B$6,4)&lt;=$B$11,ROUND($B$12+(ROW()-25)*$B$6,4),"")</f>
        <v/>
      </c>
      <c r="C33" s="17">
        <f>IF(B33="","",IF(ROUND(B33,4)&lt;ROUND($B$5,4),"BUY",IF(ROUND(B33,4)&gt;ROUND($B$5,4),"SELL","CURRENT")))</f>
        <v/>
      </c>
      <c r="D33" s="19">
        <f>IF(B33="","",$B$7)</f>
        <v/>
      </c>
      <c r="E33" s="20">
        <f>IF(B33="","",B33*$B$7)</f>
        <v/>
      </c>
      <c r="F33" s="20">
        <f>IF(B33="","",MAX($B$8,E33*$B$9))</f>
        <v/>
      </c>
      <c r="G33" s="21">
        <f>IF(B33="","",IF(C33="BUY",$B$7,IF(C33="SELL",-$B$7,0)))</f>
        <v/>
      </c>
      <c r="H33" s="19">
        <f>IF(B33="","",$B$10+$B$7*(ROUND(($B$5-$B$12)/$B$6,0)-(ROW()-25)))</f>
        <v/>
      </c>
      <c r="I33" s="18">
        <f>IF(B33="","",IF((ROUND(($B$5-$B$12)/$B$6,0)-(ROW()-25))&gt;=0,($B$10*$B$5+$B$7*(ROUND(($B$5-$B$12)/$B$6,0)-(ROW()-25))*($B$5-$B$6*((ROUND(($B$5-$B$12)/$B$6,0)-(ROW()-25))+1)/2))/($B$10+$B$7*(ROUND(($B$5-$B$12)/$B$6,0)-(ROW()-25))),$B$5))</f>
        <v/>
      </c>
      <c r="J33" s="20">
        <f>IF(B33="","",H33*B33)</f>
        <v/>
      </c>
      <c r="K33" s="20">
        <f>IF(B33="","",IF(C33="CURRENT","N/A",$B$6*$B$7))</f>
        <v/>
      </c>
      <c r="L33" s="20">
        <f>IF(B33="","",IF(C33="CURRENT","N/A",2*MAX($B$8,E33*$B$9)))</f>
        <v/>
      </c>
      <c r="M33" s="20">
        <f>IF(B33="","",IF(C33="CURRENT","N/A",K33-L33))</f>
        <v/>
      </c>
      <c r="N33" s="20">
        <f>IF(B33="","",N32+IF(ISNUMBER(M33),M33,0))</f>
        <v/>
      </c>
    </row>
    <row r="34" ht="17" customHeight="1">
      <c r="A34" s="17">
        <f>IF(B34="","",ROW()-24)</f>
        <v/>
      </c>
      <c r="B34" s="18">
        <f>IF(ROUND($B$12+(ROW()-25)*$B$6,4)&lt;=$B$11,ROUND($B$12+(ROW()-25)*$B$6,4),"")</f>
        <v/>
      </c>
      <c r="C34" s="17">
        <f>IF(B34="","",IF(ROUND(B34,4)&lt;ROUND($B$5,4),"BUY",IF(ROUND(B34,4)&gt;ROUND($B$5,4),"SELL","CURRENT")))</f>
        <v/>
      </c>
      <c r="D34" s="19">
        <f>IF(B34="","",$B$7)</f>
        <v/>
      </c>
      <c r="E34" s="20">
        <f>IF(B34="","",B34*$B$7)</f>
        <v/>
      </c>
      <c r="F34" s="20">
        <f>IF(B34="","",MAX($B$8,E34*$B$9))</f>
        <v/>
      </c>
      <c r="G34" s="21">
        <f>IF(B34="","",IF(C34="BUY",$B$7,IF(C34="SELL",-$B$7,0)))</f>
        <v/>
      </c>
      <c r="H34" s="19">
        <f>IF(B34="","",$B$10+$B$7*(ROUND(($B$5-$B$12)/$B$6,0)-(ROW()-25)))</f>
        <v/>
      </c>
      <c r="I34" s="18">
        <f>IF(B34="","",IF((ROUND(($B$5-$B$12)/$B$6,0)-(ROW()-25))&gt;=0,($B$10*$B$5+$B$7*(ROUND(($B$5-$B$12)/$B$6,0)-(ROW()-25))*($B$5-$B$6*((ROUND(($B$5-$B$12)/$B$6,0)-(ROW()-25))+1)/2))/($B$10+$B$7*(ROUND(($B$5-$B$12)/$B$6,0)-(ROW()-25))),$B$5))</f>
        <v/>
      </c>
      <c r="J34" s="20">
        <f>IF(B34="","",H34*B34)</f>
        <v/>
      </c>
      <c r="K34" s="20">
        <f>IF(B34="","",IF(C34="CURRENT","N/A",$B$6*$B$7))</f>
        <v/>
      </c>
      <c r="L34" s="20">
        <f>IF(B34="","",IF(C34="CURRENT","N/A",2*MAX($B$8,E34*$B$9)))</f>
        <v/>
      </c>
      <c r="M34" s="20">
        <f>IF(B34="","",IF(C34="CURRENT","N/A",K34-L34))</f>
        <v/>
      </c>
      <c r="N34" s="20">
        <f>IF(B34="","",N33+IF(ISNUMBER(M34),M34,0))</f>
        <v/>
      </c>
    </row>
    <row r="35" ht="17" customHeight="1">
      <c r="A35" s="17">
        <f>IF(B35="","",ROW()-24)</f>
        <v/>
      </c>
      <c r="B35" s="18">
        <f>IF(ROUND($B$12+(ROW()-25)*$B$6,4)&lt;=$B$11,ROUND($B$12+(ROW()-25)*$B$6,4),"")</f>
        <v/>
      </c>
      <c r="C35" s="17">
        <f>IF(B35="","",IF(ROUND(B35,4)&lt;ROUND($B$5,4),"BUY",IF(ROUND(B35,4)&gt;ROUND($B$5,4),"SELL","CURRENT")))</f>
        <v/>
      </c>
      <c r="D35" s="19">
        <f>IF(B35="","",$B$7)</f>
        <v/>
      </c>
      <c r="E35" s="20">
        <f>IF(B35="","",B35*$B$7)</f>
        <v/>
      </c>
      <c r="F35" s="20">
        <f>IF(B35="","",MAX($B$8,E35*$B$9))</f>
        <v/>
      </c>
      <c r="G35" s="21">
        <f>IF(B35="","",IF(C35="BUY",$B$7,IF(C35="SELL",-$B$7,0)))</f>
        <v/>
      </c>
      <c r="H35" s="19">
        <f>IF(B35="","",$B$10+$B$7*(ROUND(($B$5-$B$12)/$B$6,0)-(ROW()-25)))</f>
        <v/>
      </c>
      <c r="I35" s="18">
        <f>IF(B35="","",IF((ROUND(($B$5-$B$12)/$B$6,0)-(ROW()-25))&gt;=0,($B$10*$B$5+$B$7*(ROUND(($B$5-$B$12)/$B$6,0)-(ROW()-25))*($B$5-$B$6*((ROUND(($B$5-$B$12)/$B$6,0)-(ROW()-25))+1)/2))/($B$10+$B$7*(ROUND(($B$5-$B$12)/$B$6,0)-(ROW()-25))),$B$5))</f>
        <v/>
      </c>
      <c r="J35" s="20">
        <f>IF(B35="","",H35*B35)</f>
        <v/>
      </c>
      <c r="K35" s="20">
        <f>IF(B35="","",IF(C35="CURRENT","N/A",$B$6*$B$7))</f>
        <v/>
      </c>
      <c r="L35" s="20">
        <f>IF(B35="","",IF(C35="CURRENT","N/A",2*MAX($B$8,E35*$B$9)))</f>
        <v/>
      </c>
      <c r="M35" s="20">
        <f>IF(B35="","",IF(C35="CURRENT","N/A",K35-L35))</f>
        <v/>
      </c>
      <c r="N35" s="20">
        <f>IF(B35="","",N34+IF(ISNUMBER(M35),M35,0))</f>
        <v/>
      </c>
    </row>
    <row r="36" ht="17" customHeight="1">
      <c r="A36" s="17">
        <f>IF(B36="","",ROW()-24)</f>
        <v/>
      </c>
      <c r="B36" s="18">
        <f>IF(ROUND($B$12+(ROW()-25)*$B$6,4)&lt;=$B$11,ROUND($B$12+(ROW()-25)*$B$6,4),"")</f>
        <v/>
      </c>
      <c r="C36" s="17">
        <f>IF(B36="","",IF(ROUND(B36,4)&lt;ROUND($B$5,4),"BUY",IF(ROUND(B36,4)&gt;ROUND($B$5,4),"SELL","CURRENT")))</f>
        <v/>
      </c>
      <c r="D36" s="19">
        <f>IF(B36="","",$B$7)</f>
        <v/>
      </c>
      <c r="E36" s="20">
        <f>IF(B36="","",B36*$B$7)</f>
        <v/>
      </c>
      <c r="F36" s="20">
        <f>IF(B36="","",MAX($B$8,E36*$B$9))</f>
        <v/>
      </c>
      <c r="G36" s="21">
        <f>IF(B36="","",IF(C36="BUY",$B$7,IF(C36="SELL",-$B$7,0)))</f>
        <v/>
      </c>
      <c r="H36" s="19">
        <f>IF(B36="","",$B$10+$B$7*(ROUND(($B$5-$B$12)/$B$6,0)-(ROW()-25)))</f>
        <v/>
      </c>
      <c r="I36" s="18">
        <f>IF(B36="","",IF((ROUND(($B$5-$B$12)/$B$6,0)-(ROW()-25))&gt;=0,($B$10*$B$5+$B$7*(ROUND(($B$5-$B$12)/$B$6,0)-(ROW()-25))*($B$5-$B$6*((ROUND(($B$5-$B$12)/$B$6,0)-(ROW()-25))+1)/2))/($B$10+$B$7*(ROUND(($B$5-$B$12)/$B$6,0)-(ROW()-25))),$B$5))</f>
        <v/>
      </c>
      <c r="J36" s="20">
        <f>IF(B36="","",H36*B36)</f>
        <v/>
      </c>
      <c r="K36" s="20">
        <f>IF(B36="","",IF(C36="CURRENT","N/A",$B$6*$B$7))</f>
        <v/>
      </c>
      <c r="L36" s="20">
        <f>IF(B36="","",IF(C36="CURRENT","N/A",2*MAX($B$8,E36*$B$9)))</f>
        <v/>
      </c>
      <c r="M36" s="20">
        <f>IF(B36="","",IF(C36="CURRENT","N/A",K36-L36))</f>
        <v/>
      </c>
      <c r="N36" s="20">
        <f>IF(B36="","",N35+IF(ISNUMBER(M36),M36,0))</f>
        <v/>
      </c>
    </row>
    <row r="37" ht="17" customHeight="1">
      <c r="A37" s="17">
        <f>IF(B37="","",ROW()-24)</f>
        <v/>
      </c>
      <c r="B37" s="18">
        <f>IF(ROUND($B$12+(ROW()-25)*$B$6,4)&lt;=$B$11,ROUND($B$12+(ROW()-25)*$B$6,4),"")</f>
        <v/>
      </c>
      <c r="C37" s="17">
        <f>IF(B37="","",IF(ROUND(B37,4)&lt;ROUND($B$5,4),"BUY",IF(ROUND(B37,4)&gt;ROUND($B$5,4),"SELL","CURRENT")))</f>
        <v/>
      </c>
      <c r="D37" s="19">
        <f>IF(B37="","",$B$7)</f>
        <v/>
      </c>
      <c r="E37" s="20">
        <f>IF(B37="","",B37*$B$7)</f>
        <v/>
      </c>
      <c r="F37" s="20">
        <f>IF(B37="","",MAX($B$8,E37*$B$9))</f>
        <v/>
      </c>
      <c r="G37" s="21">
        <f>IF(B37="","",IF(C37="BUY",$B$7,IF(C37="SELL",-$B$7,0)))</f>
        <v/>
      </c>
      <c r="H37" s="19">
        <f>IF(B37="","",$B$10+$B$7*(ROUND(($B$5-$B$12)/$B$6,0)-(ROW()-25)))</f>
        <v/>
      </c>
      <c r="I37" s="18">
        <f>IF(B37="","",IF((ROUND(($B$5-$B$12)/$B$6,0)-(ROW()-25))&gt;=0,($B$10*$B$5+$B$7*(ROUND(($B$5-$B$12)/$B$6,0)-(ROW()-25))*($B$5-$B$6*((ROUND(($B$5-$B$12)/$B$6,0)-(ROW()-25))+1)/2))/($B$10+$B$7*(ROUND(($B$5-$B$12)/$B$6,0)-(ROW()-25))),$B$5))</f>
        <v/>
      </c>
      <c r="J37" s="20">
        <f>IF(B37="","",H37*B37)</f>
        <v/>
      </c>
      <c r="K37" s="20">
        <f>IF(B37="","",IF(C37="CURRENT","N/A",$B$6*$B$7))</f>
        <v/>
      </c>
      <c r="L37" s="20">
        <f>IF(B37="","",IF(C37="CURRENT","N/A",2*MAX($B$8,E37*$B$9)))</f>
        <v/>
      </c>
      <c r="M37" s="20">
        <f>IF(B37="","",IF(C37="CURRENT","N/A",K37-L37))</f>
        <v/>
      </c>
      <c r="N37" s="20">
        <f>IF(B37="","",N36+IF(ISNUMBER(M37),M37,0))</f>
        <v/>
      </c>
    </row>
    <row r="38" ht="17" customHeight="1">
      <c r="A38" s="17">
        <f>IF(B38="","",ROW()-24)</f>
        <v/>
      </c>
      <c r="B38" s="18">
        <f>IF(ROUND($B$12+(ROW()-25)*$B$6,4)&lt;=$B$11,ROUND($B$12+(ROW()-25)*$B$6,4),"")</f>
        <v/>
      </c>
      <c r="C38" s="17">
        <f>IF(B38="","",IF(ROUND(B38,4)&lt;ROUND($B$5,4),"BUY",IF(ROUND(B38,4)&gt;ROUND($B$5,4),"SELL","CURRENT")))</f>
        <v/>
      </c>
      <c r="D38" s="19">
        <f>IF(B38="","",$B$7)</f>
        <v/>
      </c>
      <c r="E38" s="20">
        <f>IF(B38="","",B38*$B$7)</f>
        <v/>
      </c>
      <c r="F38" s="20">
        <f>IF(B38="","",MAX($B$8,E38*$B$9))</f>
        <v/>
      </c>
      <c r="G38" s="21">
        <f>IF(B38="","",IF(C38="BUY",$B$7,IF(C38="SELL",-$B$7,0)))</f>
        <v/>
      </c>
      <c r="H38" s="19">
        <f>IF(B38="","",$B$10+$B$7*(ROUND(($B$5-$B$12)/$B$6,0)-(ROW()-25)))</f>
        <v/>
      </c>
      <c r="I38" s="18">
        <f>IF(B38="","",IF((ROUND(($B$5-$B$12)/$B$6,0)-(ROW()-25))&gt;=0,($B$10*$B$5+$B$7*(ROUND(($B$5-$B$12)/$B$6,0)-(ROW()-25))*($B$5-$B$6*((ROUND(($B$5-$B$12)/$B$6,0)-(ROW()-25))+1)/2))/($B$10+$B$7*(ROUND(($B$5-$B$12)/$B$6,0)-(ROW()-25))),$B$5))</f>
        <v/>
      </c>
      <c r="J38" s="20">
        <f>IF(B38="","",H38*B38)</f>
        <v/>
      </c>
      <c r="K38" s="20">
        <f>IF(B38="","",IF(C38="CURRENT","N/A",$B$6*$B$7))</f>
        <v/>
      </c>
      <c r="L38" s="20">
        <f>IF(B38="","",IF(C38="CURRENT","N/A",2*MAX($B$8,E38*$B$9)))</f>
        <v/>
      </c>
      <c r="M38" s="20">
        <f>IF(B38="","",IF(C38="CURRENT","N/A",K38-L38))</f>
        <v/>
      </c>
      <c r="N38" s="20">
        <f>IF(B38="","",N37+IF(ISNUMBER(M38),M38,0))</f>
        <v/>
      </c>
    </row>
    <row r="39" ht="17" customHeight="1">
      <c r="A39" s="17">
        <f>IF(B39="","",ROW()-24)</f>
        <v/>
      </c>
      <c r="B39" s="18">
        <f>IF(ROUND($B$12+(ROW()-25)*$B$6,4)&lt;=$B$11,ROUND($B$12+(ROW()-25)*$B$6,4),"")</f>
        <v/>
      </c>
      <c r="C39" s="17">
        <f>IF(B39="","",IF(ROUND(B39,4)&lt;ROUND($B$5,4),"BUY",IF(ROUND(B39,4)&gt;ROUND($B$5,4),"SELL","CURRENT")))</f>
        <v/>
      </c>
      <c r="D39" s="19">
        <f>IF(B39="","",$B$7)</f>
        <v/>
      </c>
      <c r="E39" s="20">
        <f>IF(B39="","",B39*$B$7)</f>
        <v/>
      </c>
      <c r="F39" s="20">
        <f>IF(B39="","",MAX($B$8,E39*$B$9))</f>
        <v/>
      </c>
      <c r="G39" s="21">
        <f>IF(B39="","",IF(C39="BUY",$B$7,IF(C39="SELL",-$B$7,0)))</f>
        <v/>
      </c>
      <c r="H39" s="19">
        <f>IF(B39="","",$B$10+$B$7*(ROUND(($B$5-$B$12)/$B$6,0)-(ROW()-25)))</f>
        <v/>
      </c>
      <c r="I39" s="18">
        <f>IF(B39="","",IF((ROUND(($B$5-$B$12)/$B$6,0)-(ROW()-25))&gt;=0,($B$10*$B$5+$B$7*(ROUND(($B$5-$B$12)/$B$6,0)-(ROW()-25))*($B$5-$B$6*((ROUND(($B$5-$B$12)/$B$6,0)-(ROW()-25))+1)/2))/($B$10+$B$7*(ROUND(($B$5-$B$12)/$B$6,0)-(ROW()-25))),$B$5))</f>
        <v/>
      </c>
      <c r="J39" s="20">
        <f>IF(B39="","",H39*B39)</f>
        <v/>
      </c>
      <c r="K39" s="20">
        <f>IF(B39="","",IF(C39="CURRENT","N/A",$B$6*$B$7))</f>
        <v/>
      </c>
      <c r="L39" s="20">
        <f>IF(B39="","",IF(C39="CURRENT","N/A",2*MAX($B$8,E39*$B$9)))</f>
        <v/>
      </c>
      <c r="M39" s="20">
        <f>IF(B39="","",IF(C39="CURRENT","N/A",K39-L39))</f>
        <v/>
      </c>
      <c r="N39" s="20">
        <f>IF(B39="","",N38+IF(ISNUMBER(M39),M39,0))</f>
        <v/>
      </c>
    </row>
    <row r="40" ht="17" customHeight="1">
      <c r="A40" s="17">
        <f>IF(B40="","",ROW()-24)</f>
        <v/>
      </c>
      <c r="B40" s="18">
        <f>IF(ROUND($B$12+(ROW()-25)*$B$6,4)&lt;=$B$11,ROUND($B$12+(ROW()-25)*$B$6,4),"")</f>
        <v/>
      </c>
      <c r="C40" s="17">
        <f>IF(B40="","",IF(ROUND(B40,4)&lt;ROUND($B$5,4),"BUY",IF(ROUND(B40,4)&gt;ROUND($B$5,4),"SELL","CURRENT")))</f>
        <v/>
      </c>
      <c r="D40" s="19">
        <f>IF(B40="","",$B$7)</f>
        <v/>
      </c>
      <c r="E40" s="20">
        <f>IF(B40="","",B40*$B$7)</f>
        <v/>
      </c>
      <c r="F40" s="20">
        <f>IF(B40="","",MAX($B$8,E40*$B$9))</f>
        <v/>
      </c>
      <c r="G40" s="21">
        <f>IF(B40="","",IF(C40="BUY",$B$7,IF(C40="SELL",-$B$7,0)))</f>
        <v/>
      </c>
      <c r="H40" s="19">
        <f>IF(B40="","",$B$10+$B$7*(ROUND(($B$5-$B$12)/$B$6,0)-(ROW()-25)))</f>
        <v/>
      </c>
      <c r="I40" s="18">
        <f>IF(B40="","",IF((ROUND(($B$5-$B$12)/$B$6,0)-(ROW()-25))&gt;=0,($B$10*$B$5+$B$7*(ROUND(($B$5-$B$12)/$B$6,0)-(ROW()-25))*($B$5-$B$6*((ROUND(($B$5-$B$12)/$B$6,0)-(ROW()-25))+1)/2))/($B$10+$B$7*(ROUND(($B$5-$B$12)/$B$6,0)-(ROW()-25))),$B$5))</f>
        <v/>
      </c>
      <c r="J40" s="20">
        <f>IF(B40="","",H40*B40)</f>
        <v/>
      </c>
      <c r="K40" s="20">
        <f>IF(B40="","",IF(C40="CURRENT","N/A",$B$6*$B$7))</f>
        <v/>
      </c>
      <c r="L40" s="20">
        <f>IF(B40="","",IF(C40="CURRENT","N/A",2*MAX($B$8,E40*$B$9)))</f>
        <v/>
      </c>
      <c r="M40" s="20">
        <f>IF(B40="","",IF(C40="CURRENT","N/A",K40-L40))</f>
        <v/>
      </c>
      <c r="N40" s="20">
        <f>IF(B40="","",N39+IF(ISNUMBER(M40),M40,0))</f>
        <v/>
      </c>
    </row>
    <row r="41" ht="17" customHeight="1">
      <c r="A41" s="17">
        <f>IF(B41="","",ROW()-24)</f>
        <v/>
      </c>
      <c r="B41" s="18">
        <f>IF(ROUND($B$12+(ROW()-25)*$B$6,4)&lt;=$B$11,ROUND($B$12+(ROW()-25)*$B$6,4),"")</f>
        <v/>
      </c>
      <c r="C41" s="17">
        <f>IF(B41="","",IF(ROUND(B41,4)&lt;ROUND($B$5,4),"BUY",IF(ROUND(B41,4)&gt;ROUND($B$5,4),"SELL","CURRENT")))</f>
        <v/>
      </c>
      <c r="D41" s="19">
        <f>IF(B41="","",$B$7)</f>
        <v/>
      </c>
      <c r="E41" s="20">
        <f>IF(B41="","",B41*$B$7)</f>
        <v/>
      </c>
      <c r="F41" s="20">
        <f>IF(B41="","",MAX($B$8,E41*$B$9))</f>
        <v/>
      </c>
      <c r="G41" s="21">
        <f>IF(B41="","",IF(C41="BUY",$B$7,IF(C41="SELL",-$B$7,0)))</f>
        <v/>
      </c>
      <c r="H41" s="19">
        <f>IF(B41="","",$B$10+$B$7*(ROUND(($B$5-$B$12)/$B$6,0)-(ROW()-25)))</f>
        <v/>
      </c>
      <c r="I41" s="18">
        <f>IF(B41="","",IF((ROUND(($B$5-$B$12)/$B$6,0)-(ROW()-25))&gt;=0,($B$10*$B$5+$B$7*(ROUND(($B$5-$B$12)/$B$6,0)-(ROW()-25))*($B$5-$B$6*((ROUND(($B$5-$B$12)/$B$6,0)-(ROW()-25))+1)/2))/($B$10+$B$7*(ROUND(($B$5-$B$12)/$B$6,0)-(ROW()-25))),$B$5))</f>
        <v/>
      </c>
      <c r="J41" s="20">
        <f>IF(B41="","",H41*B41)</f>
        <v/>
      </c>
      <c r="K41" s="20">
        <f>IF(B41="","",IF(C41="CURRENT","N/A",$B$6*$B$7))</f>
        <v/>
      </c>
      <c r="L41" s="20">
        <f>IF(B41="","",IF(C41="CURRENT","N/A",2*MAX($B$8,E41*$B$9)))</f>
        <v/>
      </c>
      <c r="M41" s="20">
        <f>IF(B41="","",IF(C41="CURRENT","N/A",K41-L41))</f>
        <v/>
      </c>
      <c r="N41" s="20">
        <f>IF(B41="","",N40+IF(ISNUMBER(M41),M41,0))</f>
        <v/>
      </c>
    </row>
    <row r="42" ht="17" customHeight="1">
      <c r="A42" s="17">
        <f>IF(B42="","",ROW()-24)</f>
        <v/>
      </c>
      <c r="B42" s="18">
        <f>IF(ROUND($B$12+(ROW()-25)*$B$6,4)&lt;=$B$11,ROUND($B$12+(ROW()-25)*$B$6,4),"")</f>
        <v/>
      </c>
      <c r="C42" s="17">
        <f>IF(B42="","",IF(ROUND(B42,4)&lt;ROUND($B$5,4),"BUY",IF(ROUND(B42,4)&gt;ROUND($B$5,4),"SELL","CURRENT")))</f>
        <v/>
      </c>
      <c r="D42" s="19">
        <f>IF(B42="","",$B$7)</f>
        <v/>
      </c>
      <c r="E42" s="20">
        <f>IF(B42="","",B42*$B$7)</f>
        <v/>
      </c>
      <c r="F42" s="20">
        <f>IF(B42="","",MAX($B$8,E42*$B$9))</f>
        <v/>
      </c>
      <c r="G42" s="21">
        <f>IF(B42="","",IF(C42="BUY",$B$7,IF(C42="SELL",-$B$7,0)))</f>
        <v/>
      </c>
      <c r="H42" s="19">
        <f>IF(B42="","",$B$10+$B$7*(ROUND(($B$5-$B$12)/$B$6,0)-(ROW()-25)))</f>
        <v/>
      </c>
      <c r="I42" s="18">
        <f>IF(B42="","",IF((ROUND(($B$5-$B$12)/$B$6,0)-(ROW()-25))&gt;=0,($B$10*$B$5+$B$7*(ROUND(($B$5-$B$12)/$B$6,0)-(ROW()-25))*($B$5-$B$6*((ROUND(($B$5-$B$12)/$B$6,0)-(ROW()-25))+1)/2))/($B$10+$B$7*(ROUND(($B$5-$B$12)/$B$6,0)-(ROW()-25))),$B$5))</f>
        <v/>
      </c>
      <c r="J42" s="20">
        <f>IF(B42="","",H42*B42)</f>
        <v/>
      </c>
      <c r="K42" s="20">
        <f>IF(B42="","",IF(C42="CURRENT","N/A",$B$6*$B$7))</f>
        <v/>
      </c>
      <c r="L42" s="20">
        <f>IF(B42="","",IF(C42="CURRENT","N/A",2*MAX($B$8,E42*$B$9)))</f>
        <v/>
      </c>
      <c r="M42" s="20">
        <f>IF(B42="","",IF(C42="CURRENT","N/A",K42-L42))</f>
        <v/>
      </c>
      <c r="N42" s="20">
        <f>IF(B42="","",N41+IF(ISNUMBER(M42),M42,0))</f>
        <v/>
      </c>
    </row>
    <row r="43" ht="17" customHeight="1">
      <c r="A43" s="17">
        <f>IF(B43="","",ROW()-24)</f>
        <v/>
      </c>
      <c r="B43" s="18">
        <f>IF(ROUND($B$12+(ROW()-25)*$B$6,4)&lt;=$B$11,ROUND($B$12+(ROW()-25)*$B$6,4),"")</f>
        <v/>
      </c>
      <c r="C43" s="17">
        <f>IF(B43="","",IF(ROUND(B43,4)&lt;ROUND($B$5,4),"BUY",IF(ROUND(B43,4)&gt;ROUND($B$5,4),"SELL","CURRENT")))</f>
        <v/>
      </c>
      <c r="D43" s="19">
        <f>IF(B43="","",$B$7)</f>
        <v/>
      </c>
      <c r="E43" s="20">
        <f>IF(B43="","",B43*$B$7)</f>
        <v/>
      </c>
      <c r="F43" s="20">
        <f>IF(B43="","",MAX($B$8,E43*$B$9))</f>
        <v/>
      </c>
      <c r="G43" s="21">
        <f>IF(B43="","",IF(C43="BUY",$B$7,IF(C43="SELL",-$B$7,0)))</f>
        <v/>
      </c>
      <c r="H43" s="19">
        <f>IF(B43="","",$B$10+$B$7*(ROUND(($B$5-$B$12)/$B$6,0)-(ROW()-25)))</f>
        <v/>
      </c>
      <c r="I43" s="18">
        <f>IF(B43="","",IF((ROUND(($B$5-$B$12)/$B$6,0)-(ROW()-25))&gt;=0,($B$10*$B$5+$B$7*(ROUND(($B$5-$B$12)/$B$6,0)-(ROW()-25))*($B$5-$B$6*((ROUND(($B$5-$B$12)/$B$6,0)-(ROW()-25))+1)/2))/($B$10+$B$7*(ROUND(($B$5-$B$12)/$B$6,0)-(ROW()-25))),$B$5))</f>
        <v/>
      </c>
      <c r="J43" s="20">
        <f>IF(B43="","",H43*B43)</f>
        <v/>
      </c>
      <c r="K43" s="20">
        <f>IF(B43="","",IF(C43="CURRENT","N/A",$B$6*$B$7))</f>
        <v/>
      </c>
      <c r="L43" s="20">
        <f>IF(B43="","",IF(C43="CURRENT","N/A",2*MAX($B$8,E43*$B$9)))</f>
        <v/>
      </c>
      <c r="M43" s="20">
        <f>IF(B43="","",IF(C43="CURRENT","N/A",K43-L43))</f>
        <v/>
      </c>
      <c r="N43" s="20">
        <f>IF(B43="","",N42+IF(ISNUMBER(M43),M43,0))</f>
        <v/>
      </c>
    </row>
    <row r="44" ht="17" customHeight="1">
      <c r="A44" s="17">
        <f>IF(B44="","",ROW()-24)</f>
        <v/>
      </c>
      <c r="B44" s="18">
        <f>IF(ROUND($B$12+(ROW()-25)*$B$6,4)&lt;=$B$11,ROUND($B$12+(ROW()-25)*$B$6,4),"")</f>
        <v/>
      </c>
      <c r="C44" s="17">
        <f>IF(B44="","",IF(ROUND(B44,4)&lt;ROUND($B$5,4),"BUY",IF(ROUND(B44,4)&gt;ROUND($B$5,4),"SELL","CURRENT")))</f>
        <v/>
      </c>
      <c r="D44" s="19">
        <f>IF(B44="","",$B$7)</f>
        <v/>
      </c>
      <c r="E44" s="20">
        <f>IF(B44="","",B44*$B$7)</f>
        <v/>
      </c>
      <c r="F44" s="20">
        <f>IF(B44="","",MAX($B$8,E44*$B$9))</f>
        <v/>
      </c>
      <c r="G44" s="21">
        <f>IF(B44="","",IF(C44="BUY",$B$7,IF(C44="SELL",-$B$7,0)))</f>
        <v/>
      </c>
      <c r="H44" s="19">
        <f>IF(B44="","",$B$10+$B$7*(ROUND(($B$5-$B$12)/$B$6,0)-(ROW()-25)))</f>
        <v/>
      </c>
      <c r="I44" s="18">
        <f>IF(B44="","",IF((ROUND(($B$5-$B$12)/$B$6,0)-(ROW()-25))&gt;=0,($B$10*$B$5+$B$7*(ROUND(($B$5-$B$12)/$B$6,0)-(ROW()-25))*($B$5-$B$6*((ROUND(($B$5-$B$12)/$B$6,0)-(ROW()-25))+1)/2))/($B$10+$B$7*(ROUND(($B$5-$B$12)/$B$6,0)-(ROW()-25))),$B$5))</f>
        <v/>
      </c>
      <c r="J44" s="20">
        <f>IF(B44="","",H44*B44)</f>
        <v/>
      </c>
      <c r="K44" s="20">
        <f>IF(B44="","",IF(C44="CURRENT","N/A",$B$6*$B$7))</f>
        <v/>
      </c>
      <c r="L44" s="20">
        <f>IF(B44="","",IF(C44="CURRENT","N/A",2*MAX($B$8,E44*$B$9)))</f>
        <v/>
      </c>
      <c r="M44" s="20">
        <f>IF(B44="","",IF(C44="CURRENT","N/A",K44-L44))</f>
        <v/>
      </c>
      <c r="N44" s="20">
        <f>IF(B44="","",N43+IF(ISNUMBER(M44),M44,0))</f>
        <v/>
      </c>
    </row>
    <row r="45" ht="17" customHeight="1">
      <c r="A45" s="17">
        <f>IF(B45="","",ROW()-24)</f>
        <v/>
      </c>
      <c r="B45" s="18">
        <f>IF(ROUND($B$12+(ROW()-25)*$B$6,4)&lt;=$B$11,ROUND($B$12+(ROW()-25)*$B$6,4),"")</f>
        <v/>
      </c>
      <c r="C45" s="17">
        <f>IF(B45="","",IF(ROUND(B45,4)&lt;ROUND($B$5,4),"BUY",IF(ROUND(B45,4)&gt;ROUND($B$5,4),"SELL","CURRENT")))</f>
        <v/>
      </c>
      <c r="D45" s="19">
        <f>IF(B45="","",$B$7)</f>
        <v/>
      </c>
      <c r="E45" s="20">
        <f>IF(B45="","",B45*$B$7)</f>
        <v/>
      </c>
      <c r="F45" s="20">
        <f>IF(B45="","",MAX($B$8,E45*$B$9))</f>
        <v/>
      </c>
      <c r="G45" s="21">
        <f>IF(B45="","",IF(C45="BUY",$B$7,IF(C45="SELL",-$B$7,0)))</f>
        <v/>
      </c>
      <c r="H45" s="19">
        <f>IF(B45="","",$B$10+$B$7*(ROUND(($B$5-$B$12)/$B$6,0)-(ROW()-25)))</f>
        <v/>
      </c>
      <c r="I45" s="18">
        <f>IF(B45="","",IF((ROUND(($B$5-$B$12)/$B$6,0)-(ROW()-25))&gt;=0,($B$10*$B$5+$B$7*(ROUND(($B$5-$B$12)/$B$6,0)-(ROW()-25))*($B$5-$B$6*((ROUND(($B$5-$B$12)/$B$6,0)-(ROW()-25))+1)/2))/($B$10+$B$7*(ROUND(($B$5-$B$12)/$B$6,0)-(ROW()-25))),$B$5))</f>
        <v/>
      </c>
      <c r="J45" s="20">
        <f>IF(B45="","",H45*B45)</f>
        <v/>
      </c>
      <c r="K45" s="20">
        <f>IF(B45="","",IF(C45="CURRENT","N/A",$B$6*$B$7))</f>
        <v/>
      </c>
      <c r="L45" s="20">
        <f>IF(B45="","",IF(C45="CURRENT","N/A",2*MAX($B$8,E45*$B$9)))</f>
        <v/>
      </c>
      <c r="M45" s="20">
        <f>IF(B45="","",IF(C45="CURRENT","N/A",K45-L45))</f>
        <v/>
      </c>
      <c r="N45" s="20">
        <f>IF(B45="","",N44+IF(ISNUMBER(M45),M45,0))</f>
        <v/>
      </c>
    </row>
    <row r="46" ht="17" customHeight="1">
      <c r="A46" s="17">
        <f>IF(B46="","",ROW()-24)</f>
        <v/>
      </c>
      <c r="B46" s="18">
        <f>IF(ROUND($B$12+(ROW()-25)*$B$6,4)&lt;=$B$11,ROUND($B$12+(ROW()-25)*$B$6,4),"")</f>
        <v/>
      </c>
      <c r="C46" s="17">
        <f>IF(B46="","",IF(ROUND(B46,4)&lt;ROUND($B$5,4),"BUY",IF(ROUND(B46,4)&gt;ROUND($B$5,4),"SELL","CURRENT")))</f>
        <v/>
      </c>
      <c r="D46" s="19">
        <f>IF(B46="","",$B$7)</f>
        <v/>
      </c>
      <c r="E46" s="20">
        <f>IF(B46="","",B46*$B$7)</f>
        <v/>
      </c>
      <c r="F46" s="20">
        <f>IF(B46="","",MAX($B$8,E46*$B$9))</f>
        <v/>
      </c>
      <c r="G46" s="21">
        <f>IF(B46="","",IF(C46="BUY",$B$7,IF(C46="SELL",-$B$7,0)))</f>
        <v/>
      </c>
      <c r="H46" s="19">
        <f>IF(B46="","",$B$10+$B$7*(ROUND(($B$5-$B$12)/$B$6,0)-(ROW()-25)))</f>
        <v/>
      </c>
      <c r="I46" s="18">
        <f>IF(B46="","",IF((ROUND(($B$5-$B$12)/$B$6,0)-(ROW()-25))&gt;=0,($B$10*$B$5+$B$7*(ROUND(($B$5-$B$12)/$B$6,0)-(ROW()-25))*($B$5-$B$6*((ROUND(($B$5-$B$12)/$B$6,0)-(ROW()-25))+1)/2))/($B$10+$B$7*(ROUND(($B$5-$B$12)/$B$6,0)-(ROW()-25))),$B$5))</f>
        <v/>
      </c>
      <c r="J46" s="20">
        <f>IF(B46="","",H46*B46)</f>
        <v/>
      </c>
      <c r="K46" s="20">
        <f>IF(B46="","",IF(C46="CURRENT","N/A",$B$6*$B$7))</f>
        <v/>
      </c>
      <c r="L46" s="20">
        <f>IF(B46="","",IF(C46="CURRENT","N/A",2*MAX($B$8,E46*$B$9)))</f>
        <v/>
      </c>
      <c r="M46" s="20">
        <f>IF(B46="","",IF(C46="CURRENT","N/A",K46-L46))</f>
        <v/>
      </c>
      <c r="N46" s="20">
        <f>IF(B46="","",N45+IF(ISNUMBER(M46),M46,0))</f>
        <v/>
      </c>
    </row>
    <row r="47" ht="17" customHeight="1">
      <c r="A47" s="17">
        <f>IF(B47="","",ROW()-24)</f>
        <v/>
      </c>
      <c r="B47" s="18">
        <f>IF(ROUND($B$12+(ROW()-25)*$B$6,4)&lt;=$B$11,ROUND($B$12+(ROW()-25)*$B$6,4),"")</f>
        <v/>
      </c>
      <c r="C47" s="17">
        <f>IF(B47="","",IF(ROUND(B47,4)&lt;ROUND($B$5,4),"BUY",IF(ROUND(B47,4)&gt;ROUND($B$5,4),"SELL","CURRENT")))</f>
        <v/>
      </c>
      <c r="D47" s="19">
        <f>IF(B47="","",$B$7)</f>
        <v/>
      </c>
      <c r="E47" s="20">
        <f>IF(B47="","",B47*$B$7)</f>
        <v/>
      </c>
      <c r="F47" s="20">
        <f>IF(B47="","",MAX($B$8,E47*$B$9))</f>
        <v/>
      </c>
      <c r="G47" s="21">
        <f>IF(B47="","",IF(C47="BUY",$B$7,IF(C47="SELL",-$B$7,0)))</f>
        <v/>
      </c>
      <c r="H47" s="19">
        <f>IF(B47="","",$B$10+$B$7*(ROUND(($B$5-$B$12)/$B$6,0)-(ROW()-25)))</f>
        <v/>
      </c>
      <c r="I47" s="18">
        <f>IF(B47="","",IF((ROUND(($B$5-$B$12)/$B$6,0)-(ROW()-25))&gt;=0,($B$10*$B$5+$B$7*(ROUND(($B$5-$B$12)/$B$6,0)-(ROW()-25))*($B$5-$B$6*((ROUND(($B$5-$B$12)/$B$6,0)-(ROW()-25))+1)/2))/($B$10+$B$7*(ROUND(($B$5-$B$12)/$B$6,0)-(ROW()-25))),$B$5))</f>
        <v/>
      </c>
      <c r="J47" s="20">
        <f>IF(B47="","",H47*B47)</f>
        <v/>
      </c>
      <c r="K47" s="20">
        <f>IF(B47="","",IF(C47="CURRENT","N/A",$B$6*$B$7))</f>
        <v/>
      </c>
      <c r="L47" s="20">
        <f>IF(B47="","",IF(C47="CURRENT","N/A",2*MAX($B$8,E47*$B$9)))</f>
        <v/>
      </c>
      <c r="M47" s="20">
        <f>IF(B47="","",IF(C47="CURRENT","N/A",K47-L47))</f>
        <v/>
      </c>
      <c r="N47" s="20">
        <f>IF(B47="","",N46+IF(ISNUMBER(M47),M47,0))</f>
        <v/>
      </c>
    </row>
    <row r="48" ht="17" customHeight="1">
      <c r="A48" s="17">
        <f>IF(B48="","",ROW()-24)</f>
        <v/>
      </c>
      <c r="B48" s="18">
        <f>IF(ROUND($B$12+(ROW()-25)*$B$6,4)&lt;=$B$11,ROUND($B$12+(ROW()-25)*$B$6,4),"")</f>
        <v/>
      </c>
      <c r="C48" s="17">
        <f>IF(B48="","",IF(ROUND(B48,4)&lt;ROUND($B$5,4),"BUY",IF(ROUND(B48,4)&gt;ROUND($B$5,4),"SELL","CURRENT")))</f>
        <v/>
      </c>
      <c r="D48" s="19">
        <f>IF(B48="","",$B$7)</f>
        <v/>
      </c>
      <c r="E48" s="20">
        <f>IF(B48="","",B48*$B$7)</f>
        <v/>
      </c>
      <c r="F48" s="20">
        <f>IF(B48="","",MAX($B$8,E48*$B$9))</f>
        <v/>
      </c>
      <c r="G48" s="21">
        <f>IF(B48="","",IF(C48="BUY",$B$7,IF(C48="SELL",-$B$7,0)))</f>
        <v/>
      </c>
      <c r="H48" s="19">
        <f>IF(B48="","",$B$10+$B$7*(ROUND(($B$5-$B$12)/$B$6,0)-(ROW()-25)))</f>
        <v/>
      </c>
      <c r="I48" s="18">
        <f>IF(B48="","",IF((ROUND(($B$5-$B$12)/$B$6,0)-(ROW()-25))&gt;=0,($B$10*$B$5+$B$7*(ROUND(($B$5-$B$12)/$B$6,0)-(ROW()-25))*($B$5-$B$6*((ROUND(($B$5-$B$12)/$B$6,0)-(ROW()-25))+1)/2))/($B$10+$B$7*(ROUND(($B$5-$B$12)/$B$6,0)-(ROW()-25))),$B$5))</f>
        <v/>
      </c>
      <c r="J48" s="20">
        <f>IF(B48="","",H48*B48)</f>
        <v/>
      </c>
      <c r="K48" s="20">
        <f>IF(B48="","",IF(C48="CURRENT","N/A",$B$6*$B$7))</f>
        <v/>
      </c>
      <c r="L48" s="20">
        <f>IF(B48="","",IF(C48="CURRENT","N/A",2*MAX($B$8,E48*$B$9)))</f>
        <v/>
      </c>
      <c r="M48" s="20">
        <f>IF(B48="","",IF(C48="CURRENT","N/A",K48-L48))</f>
        <v/>
      </c>
      <c r="N48" s="20">
        <f>IF(B48="","",N47+IF(ISNUMBER(M48),M48,0))</f>
        <v/>
      </c>
    </row>
    <row r="49" ht="17" customHeight="1">
      <c r="A49" s="17">
        <f>IF(B49="","",ROW()-24)</f>
        <v/>
      </c>
      <c r="B49" s="18">
        <f>IF(ROUND($B$12+(ROW()-25)*$B$6,4)&lt;=$B$11,ROUND($B$12+(ROW()-25)*$B$6,4),"")</f>
        <v/>
      </c>
      <c r="C49" s="17">
        <f>IF(B49="","",IF(ROUND(B49,4)&lt;ROUND($B$5,4),"BUY",IF(ROUND(B49,4)&gt;ROUND($B$5,4),"SELL","CURRENT")))</f>
        <v/>
      </c>
      <c r="D49" s="19">
        <f>IF(B49="","",$B$7)</f>
        <v/>
      </c>
      <c r="E49" s="20">
        <f>IF(B49="","",B49*$B$7)</f>
        <v/>
      </c>
      <c r="F49" s="20">
        <f>IF(B49="","",MAX($B$8,E49*$B$9))</f>
        <v/>
      </c>
      <c r="G49" s="21">
        <f>IF(B49="","",IF(C49="BUY",$B$7,IF(C49="SELL",-$B$7,0)))</f>
        <v/>
      </c>
      <c r="H49" s="19">
        <f>IF(B49="","",$B$10+$B$7*(ROUND(($B$5-$B$12)/$B$6,0)-(ROW()-25)))</f>
        <v/>
      </c>
      <c r="I49" s="18">
        <f>IF(B49="","",IF((ROUND(($B$5-$B$12)/$B$6,0)-(ROW()-25))&gt;=0,($B$10*$B$5+$B$7*(ROUND(($B$5-$B$12)/$B$6,0)-(ROW()-25))*($B$5-$B$6*((ROUND(($B$5-$B$12)/$B$6,0)-(ROW()-25))+1)/2))/($B$10+$B$7*(ROUND(($B$5-$B$12)/$B$6,0)-(ROW()-25))),$B$5))</f>
        <v/>
      </c>
      <c r="J49" s="20">
        <f>IF(B49="","",H49*B49)</f>
        <v/>
      </c>
      <c r="K49" s="20">
        <f>IF(B49="","",IF(C49="CURRENT","N/A",$B$6*$B$7))</f>
        <v/>
      </c>
      <c r="L49" s="20">
        <f>IF(B49="","",IF(C49="CURRENT","N/A",2*MAX($B$8,E49*$B$9)))</f>
        <v/>
      </c>
      <c r="M49" s="20">
        <f>IF(B49="","",IF(C49="CURRENT","N/A",K49-L49))</f>
        <v/>
      </c>
      <c r="N49" s="20">
        <f>IF(B49="","",N48+IF(ISNUMBER(M49),M49,0))</f>
        <v/>
      </c>
    </row>
    <row r="50" ht="17" customHeight="1">
      <c r="A50" s="17">
        <f>IF(B50="","",ROW()-24)</f>
        <v/>
      </c>
      <c r="B50" s="18">
        <f>IF(ROUND($B$12+(ROW()-25)*$B$6,4)&lt;=$B$11,ROUND($B$12+(ROW()-25)*$B$6,4),"")</f>
        <v/>
      </c>
      <c r="C50" s="17">
        <f>IF(B50="","",IF(ROUND(B50,4)&lt;ROUND($B$5,4),"BUY",IF(ROUND(B50,4)&gt;ROUND($B$5,4),"SELL","CURRENT")))</f>
        <v/>
      </c>
      <c r="D50" s="19">
        <f>IF(B50="","",$B$7)</f>
        <v/>
      </c>
      <c r="E50" s="20">
        <f>IF(B50="","",B50*$B$7)</f>
        <v/>
      </c>
      <c r="F50" s="20">
        <f>IF(B50="","",MAX($B$8,E50*$B$9))</f>
        <v/>
      </c>
      <c r="G50" s="21">
        <f>IF(B50="","",IF(C50="BUY",$B$7,IF(C50="SELL",-$B$7,0)))</f>
        <v/>
      </c>
      <c r="H50" s="19">
        <f>IF(B50="","",$B$10+$B$7*(ROUND(($B$5-$B$12)/$B$6,0)-(ROW()-25)))</f>
        <v/>
      </c>
      <c r="I50" s="18">
        <f>IF(B50="","",IF((ROUND(($B$5-$B$12)/$B$6,0)-(ROW()-25))&gt;=0,($B$10*$B$5+$B$7*(ROUND(($B$5-$B$12)/$B$6,0)-(ROW()-25))*($B$5-$B$6*((ROUND(($B$5-$B$12)/$B$6,0)-(ROW()-25))+1)/2))/($B$10+$B$7*(ROUND(($B$5-$B$12)/$B$6,0)-(ROW()-25))),$B$5))</f>
        <v/>
      </c>
      <c r="J50" s="20">
        <f>IF(B50="","",H50*B50)</f>
        <v/>
      </c>
      <c r="K50" s="20">
        <f>IF(B50="","",IF(C50="CURRENT","N/A",$B$6*$B$7))</f>
        <v/>
      </c>
      <c r="L50" s="20">
        <f>IF(B50="","",IF(C50="CURRENT","N/A",2*MAX($B$8,E50*$B$9)))</f>
        <v/>
      </c>
      <c r="M50" s="20">
        <f>IF(B50="","",IF(C50="CURRENT","N/A",K50-L50))</f>
        <v/>
      </c>
      <c r="N50" s="20">
        <f>IF(B50="","",N49+IF(ISNUMBER(M50),M50,0))</f>
        <v/>
      </c>
    </row>
    <row r="51" ht="17" customHeight="1">
      <c r="A51" s="17">
        <f>IF(B51="","",ROW()-24)</f>
        <v/>
      </c>
      <c r="B51" s="18">
        <f>IF(ROUND($B$12+(ROW()-25)*$B$6,4)&lt;=$B$11,ROUND($B$12+(ROW()-25)*$B$6,4),"")</f>
        <v/>
      </c>
      <c r="C51" s="17">
        <f>IF(B51="","",IF(ROUND(B51,4)&lt;ROUND($B$5,4),"BUY",IF(ROUND(B51,4)&gt;ROUND($B$5,4),"SELL","CURRENT")))</f>
        <v/>
      </c>
      <c r="D51" s="19">
        <f>IF(B51="","",$B$7)</f>
        <v/>
      </c>
      <c r="E51" s="20">
        <f>IF(B51="","",B51*$B$7)</f>
        <v/>
      </c>
      <c r="F51" s="20">
        <f>IF(B51="","",MAX($B$8,E51*$B$9))</f>
        <v/>
      </c>
      <c r="G51" s="21">
        <f>IF(B51="","",IF(C51="BUY",$B$7,IF(C51="SELL",-$B$7,0)))</f>
        <v/>
      </c>
      <c r="H51" s="19">
        <f>IF(B51="","",$B$10+$B$7*(ROUND(($B$5-$B$12)/$B$6,0)-(ROW()-25)))</f>
        <v/>
      </c>
      <c r="I51" s="18">
        <f>IF(B51="","",IF((ROUND(($B$5-$B$12)/$B$6,0)-(ROW()-25))&gt;=0,($B$10*$B$5+$B$7*(ROUND(($B$5-$B$12)/$B$6,0)-(ROW()-25))*($B$5-$B$6*((ROUND(($B$5-$B$12)/$B$6,0)-(ROW()-25))+1)/2))/($B$10+$B$7*(ROUND(($B$5-$B$12)/$B$6,0)-(ROW()-25))),$B$5))</f>
        <v/>
      </c>
      <c r="J51" s="20">
        <f>IF(B51="","",H51*B51)</f>
        <v/>
      </c>
      <c r="K51" s="20">
        <f>IF(B51="","",IF(C51="CURRENT","N/A",$B$6*$B$7))</f>
        <v/>
      </c>
      <c r="L51" s="20">
        <f>IF(B51="","",IF(C51="CURRENT","N/A",2*MAX($B$8,E51*$B$9)))</f>
        <v/>
      </c>
      <c r="M51" s="20">
        <f>IF(B51="","",IF(C51="CURRENT","N/A",K51-L51))</f>
        <v/>
      </c>
      <c r="N51" s="20">
        <f>IF(B51="","",N50+IF(ISNUMBER(M51),M51,0))</f>
        <v/>
      </c>
    </row>
    <row r="52" ht="17" customHeight="1">
      <c r="A52" s="17">
        <f>IF(B52="","",ROW()-24)</f>
        <v/>
      </c>
      <c r="B52" s="18">
        <f>IF(ROUND($B$12+(ROW()-25)*$B$6,4)&lt;=$B$11,ROUND($B$12+(ROW()-25)*$B$6,4),"")</f>
        <v/>
      </c>
      <c r="C52" s="17">
        <f>IF(B52="","",IF(ROUND(B52,4)&lt;ROUND($B$5,4),"BUY",IF(ROUND(B52,4)&gt;ROUND($B$5,4),"SELL","CURRENT")))</f>
        <v/>
      </c>
      <c r="D52" s="19">
        <f>IF(B52="","",$B$7)</f>
        <v/>
      </c>
      <c r="E52" s="20">
        <f>IF(B52="","",B52*$B$7)</f>
        <v/>
      </c>
      <c r="F52" s="20">
        <f>IF(B52="","",MAX($B$8,E52*$B$9))</f>
        <v/>
      </c>
      <c r="G52" s="21">
        <f>IF(B52="","",IF(C52="BUY",$B$7,IF(C52="SELL",-$B$7,0)))</f>
        <v/>
      </c>
      <c r="H52" s="19">
        <f>IF(B52="","",$B$10+$B$7*(ROUND(($B$5-$B$12)/$B$6,0)-(ROW()-25)))</f>
        <v/>
      </c>
      <c r="I52" s="18">
        <f>IF(B52="","",IF((ROUND(($B$5-$B$12)/$B$6,0)-(ROW()-25))&gt;=0,($B$10*$B$5+$B$7*(ROUND(($B$5-$B$12)/$B$6,0)-(ROW()-25))*($B$5-$B$6*((ROUND(($B$5-$B$12)/$B$6,0)-(ROW()-25))+1)/2))/($B$10+$B$7*(ROUND(($B$5-$B$12)/$B$6,0)-(ROW()-25))),$B$5))</f>
        <v/>
      </c>
      <c r="J52" s="20">
        <f>IF(B52="","",H52*B52)</f>
        <v/>
      </c>
      <c r="K52" s="20">
        <f>IF(B52="","",IF(C52="CURRENT","N/A",$B$6*$B$7))</f>
        <v/>
      </c>
      <c r="L52" s="20">
        <f>IF(B52="","",IF(C52="CURRENT","N/A",2*MAX($B$8,E52*$B$9)))</f>
        <v/>
      </c>
      <c r="M52" s="20">
        <f>IF(B52="","",IF(C52="CURRENT","N/A",K52-L52))</f>
        <v/>
      </c>
      <c r="N52" s="20">
        <f>IF(B52="","",N51+IF(ISNUMBER(M52),M52,0))</f>
        <v/>
      </c>
    </row>
    <row r="53" ht="17" customHeight="1">
      <c r="A53" s="17">
        <f>IF(B53="","",ROW()-24)</f>
        <v/>
      </c>
      <c r="B53" s="18">
        <f>IF(ROUND($B$12+(ROW()-25)*$B$6,4)&lt;=$B$11,ROUND($B$12+(ROW()-25)*$B$6,4),"")</f>
        <v/>
      </c>
      <c r="C53" s="17">
        <f>IF(B53="","",IF(ROUND(B53,4)&lt;ROUND($B$5,4),"BUY",IF(ROUND(B53,4)&gt;ROUND($B$5,4),"SELL","CURRENT")))</f>
        <v/>
      </c>
      <c r="D53" s="19">
        <f>IF(B53="","",$B$7)</f>
        <v/>
      </c>
      <c r="E53" s="20">
        <f>IF(B53="","",B53*$B$7)</f>
        <v/>
      </c>
      <c r="F53" s="20">
        <f>IF(B53="","",MAX($B$8,E53*$B$9))</f>
        <v/>
      </c>
      <c r="G53" s="21">
        <f>IF(B53="","",IF(C53="BUY",$B$7,IF(C53="SELL",-$B$7,0)))</f>
        <v/>
      </c>
      <c r="H53" s="19">
        <f>IF(B53="","",$B$10+$B$7*(ROUND(($B$5-$B$12)/$B$6,0)-(ROW()-25)))</f>
        <v/>
      </c>
      <c r="I53" s="18">
        <f>IF(B53="","",IF((ROUND(($B$5-$B$12)/$B$6,0)-(ROW()-25))&gt;=0,($B$10*$B$5+$B$7*(ROUND(($B$5-$B$12)/$B$6,0)-(ROW()-25))*($B$5-$B$6*((ROUND(($B$5-$B$12)/$B$6,0)-(ROW()-25))+1)/2))/($B$10+$B$7*(ROUND(($B$5-$B$12)/$B$6,0)-(ROW()-25))),$B$5))</f>
        <v/>
      </c>
      <c r="J53" s="20">
        <f>IF(B53="","",H53*B53)</f>
        <v/>
      </c>
      <c r="K53" s="20">
        <f>IF(B53="","",IF(C53="CURRENT","N/A",$B$6*$B$7))</f>
        <v/>
      </c>
      <c r="L53" s="20">
        <f>IF(B53="","",IF(C53="CURRENT","N/A",2*MAX($B$8,E53*$B$9)))</f>
        <v/>
      </c>
      <c r="M53" s="20">
        <f>IF(B53="","",IF(C53="CURRENT","N/A",K53-L53))</f>
        <v/>
      </c>
      <c r="N53" s="20">
        <f>IF(B53="","",N52+IF(ISNUMBER(M53),M53,0))</f>
        <v/>
      </c>
    </row>
    <row r="54" ht="17" customHeight="1">
      <c r="A54" s="17">
        <f>IF(B54="","",ROW()-24)</f>
        <v/>
      </c>
      <c r="B54" s="18">
        <f>IF(ROUND($B$12+(ROW()-25)*$B$6,4)&lt;=$B$11,ROUND($B$12+(ROW()-25)*$B$6,4),"")</f>
        <v/>
      </c>
      <c r="C54" s="17">
        <f>IF(B54="","",IF(ROUND(B54,4)&lt;ROUND($B$5,4),"BUY",IF(ROUND(B54,4)&gt;ROUND($B$5,4),"SELL","CURRENT")))</f>
        <v/>
      </c>
      <c r="D54" s="19">
        <f>IF(B54="","",$B$7)</f>
        <v/>
      </c>
      <c r="E54" s="20">
        <f>IF(B54="","",B54*$B$7)</f>
        <v/>
      </c>
      <c r="F54" s="20">
        <f>IF(B54="","",MAX($B$8,E54*$B$9))</f>
        <v/>
      </c>
      <c r="G54" s="21">
        <f>IF(B54="","",IF(C54="BUY",$B$7,IF(C54="SELL",-$B$7,0)))</f>
        <v/>
      </c>
      <c r="H54" s="19">
        <f>IF(B54="","",$B$10+$B$7*(ROUND(($B$5-$B$12)/$B$6,0)-(ROW()-25)))</f>
        <v/>
      </c>
      <c r="I54" s="18">
        <f>IF(B54="","",IF((ROUND(($B$5-$B$12)/$B$6,0)-(ROW()-25))&gt;=0,($B$10*$B$5+$B$7*(ROUND(($B$5-$B$12)/$B$6,0)-(ROW()-25))*($B$5-$B$6*((ROUND(($B$5-$B$12)/$B$6,0)-(ROW()-25))+1)/2))/($B$10+$B$7*(ROUND(($B$5-$B$12)/$B$6,0)-(ROW()-25))),$B$5))</f>
        <v/>
      </c>
      <c r="J54" s="20">
        <f>IF(B54="","",H54*B54)</f>
        <v/>
      </c>
      <c r="K54" s="20">
        <f>IF(B54="","",IF(C54="CURRENT","N/A",$B$6*$B$7))</f>
        <v/>
      </c>
      <c r="L54" s="20">
        <f>IF(B54="","",IF(C54="CURRENT","N/A",2*MAX($B$8,E54*$B$9)))</f>
        <v/>
      </c>
      <c r="M54" s="20">
        <f>IF(B54="","",IF(C54="CURRENT","N/A",K54-L54))</f>
        <v/>
      </c>
      <c r="N54" s="20">
        <f>IF(B54="","",N53+IF(ISNUMBER(M54),M54,0))</f>
        <v/>
      </c>
    </row>
    <row r="55" ht="17" customHeight="1">
      <c r="A55" s="17">
        <f>IF(B55="","",ROW()-24)</f>
        <v/>
      </c>
      <c r="B55" s="18">
        <f>IF(ROUND($B$12+(ROW()-25)*$B$6,4)&lt;=$B$11,ROUND($B$12+(ROW()-25)*$B$6,4),"")</f>
        <v/>
      </c>
      <c r="C55" s="17">
        <f>IF(B55="","",IF(ROUND(B55,4)&lt;ROUND($B$5,4),"BUY",IF(ROUND(B55,4)&gt;ROUND($B$5,4),"SELL","CURRENT")))</f>
        <v/>
      </c>
      <c r="D55" s="19">
        <f>IF(B55="","",$B$7)</f>
        <v/>
      </c>
      <c r="E55" s="20">
        <f>IF(B55="","",B55*$B$7)</f>
        <v/>
      </c>
      <c r="F55" s="20">
        <f>IF(B55="","",MAX($B$8,E55*$B$9))</f>
        <v/>
      </c>
      <c r="G55" s="21">
        <f>IF(B55="","",IF(C55="BUY",$B$7,IF(C55="SELL",-$B$7,0)))</f>
        <v/>
      </c>
      <c r="H55" s="19">
        <f>IF(B55="","",$B$10+$B$7*(ROUND(($B$5-$B$12)/$B$6,0)-(ROW()-25)))</f>
        <v/>
      </c>
      <c r="I55" s="18">
        <f>IF(B55="","",IF((ROUND(($B$5-$B$12)/$B$6,0)-(ROW()-25))&gt;=0,($B$10*$B$5+$B$7*(ROUND(($B$5-$B$12)/$B$6,0)-(ROW()-25))*($B$5-$B$6*((ROUND(($B$5-$B$12)/$B$6,0)-(ROW()-25))+1)/2))/($B$10+$B$7*(ROUND(($B$5-$B$12)/$B$6,0)-(ROW()-25))),$B$5))</f>
        <v/>
      </c>
      <c r="J55" s="20">
        <f>IF(B55="","",H55*B55)</f>
        <v/>
      </c>
      <c r="K55" s="20">
        <f>IF(B55="","",IF(C55="CURRENT","N/A",$B$6*$B$7))</f>
        <v/>
      </c>
      <c r="L55" s="20">
        <f>IF(B55="","",IF(C55="CURRENT","N/A",2*MAX($B$8,E55*$B$9)))</f>
        <v/>
      </c>
      <c r="M55" s="20">
        <f>IF(B55="","",IF(C55="CURRENT","N/A",K55-L55))</f>
        <v/>
      </c>
      <c r="N55" s="20">
        <f>IF(B55="","",N54+IF(ISNUMBER(M55),M55,0))</f>
        <v/>
      </c>
    </row>
    <row r="56" ht="17" customHeight="1">
      <c r="A56" s="17">
        <f>IF(B56="","",ROW()-24)</f>
        <v/>
      </c>
      <c r="B56" s="18">
        <f>IF(ROUND($B$12+(ROW()-25)*$B$6,4)&lt;=$B$11,ROUND($B$12+(ROW()-25)*$B$6,4),"")</f>
        <v/>
      </c>
      <c r="C56" s="17">
        <f>IF(B56="","",IF(ROUND(B56,4)&lt;ROUND($B$5,4),"BUY",IF(ROUND(B56,4)&gt;ROUND($B$5,4),"SELL","CURRENT")))</f>
        <v/>
      </c>
      <c r="D56" s="19">
        <f>IF(B56="","",$B$7)</f>
        <v/>
      </c>
      <c r="E56" s="20">
        <f>IF(B56="","",B56*$B$7)</f>
        <v/>
      </c>
      <c r="F56" s="20">
        <f>IF(B56="","",MAX($B$8,E56*$B$9))</f>
        <v/>
      </c>
      <c r="G56" s="21">
        <f>IF(B56="","",IF(C56="BUY",$B$7,IF(C56="SELL",-$B$7,0)))</f>
        <v/>
      </c>
      <c r="H56" s="19">
        <f>IF(B56="","",$B$10+$B$7*(ROUND(($B$5-$B$12)/$B$6,0)-(ROW()-25)))</f>
        <v/>
      </c>
      <c r="I56" s="18">
        <f>IF(B56="","",IF((ROUND(($B$5-$B$12)/$B$6,0)-(ROW()-25))&gt;=0,($B$10*$B$5+$B$7*(ROUND(($B$5-$B$12)/$B$6,0)-(ROW()-25))*($B$5-$B$6*((ROUND(($B$5-$B$12)/$B$6,0)-(ROW()-25))+1)/2))/($B$10+$B$7*(ROUND(($B$5-$B$12)/$B$6,0)-(ROW()-25))),$B$5))</f>
        <v/>
      </c>
      <c r="J56" s="20">
        <f>IF(B56="","",H56*B56)</f>
        <v/>
      </c>
      <c r="K56" s="20">
        <f>IF(B56="","",IF(C56="CURRENT","N/A",$B$6*$B$7))</f>
        <v/>
      </c>
      <c r="L56" s="20">
        <f>IF(B56="","",IF(C56="CURRENT","N/A",2*MAX($B$8,E56*$B$9)))</f>
        <v/>
      </c>
      <c r="M56" s="20">
        <f>IF(B56="","",IF(C56="CURRENT","N/A",K56-L56))</f>
        <v/>
      </c>
      <c r="N56" s="20">
        <f>IF(B56="","",N55+IF(ISNUMBER(M56),M56,0))</f>
        <v/>
      </c>
    </row>
    <row r="57" ht="17" customHeight="1">
      <c r="A57" s="17">
        <f>IF(B57="","",ROW()-24)</f>
        <v/>
      </c>
      <c r="B57" s="18">
        <f>IF(ROUND($B$12+(ROW()-25)*$B$6,4)&lt;=$B$11,ROUND($B$12+(ROW()-25)*$B$6,4),"")</f>
        <v/>
      </c>
      <c r="C57" s="17">
        <f>IF(B57="","",IF(ROUND(B57,4)&lt;ROUND($B$5,4),"BUY",IF(ROUND(B57,4)&gt;ROUND($B$5,4),"SELL","CURRENT")))</f>
        <v/>
      </c>
      <c r="D57" s="19">
        <f>IF(B57="","",$B$7)</f>
        <v/>
      </c>
      <c r="E57" s="20">
        <f>IF(B57="","",B57*$B$7)</f>
        <v/>
      </c>
      <c r="F57" s="20">
        <f>IF(B57="","",MAX($B$8,E57*$B$9))</f>
        <v/>
      </c>
      <c r="G57" s="21">
        <f>IF(B57="","",IF(C57="BUY",$B$7,IF(C57="SELL",-$B$7,0)))</f>
        <v/>
      </c>
      <c r="H57" s="19">
        <f>IF(B57="","",$B$10+$B$7*(ROUND(($B$5-$B$12)/$B$6,0)-(ROW()-25)))</f>
        <v/>
      </c>
      <c r="I57" s="18">
        <f>IF(B57="","",IF((ROUND(($B$5-$B$12)/$B$6,0)-(ROW()-25))&gt;=0,($B$10*$B$5+$B$7*(ROUND(($B$5-$B$12)/$B$6,0)-(ROW()-25))*($B$5-$B$6*((ROUND(($B$5-$B$12)/$B$6,0)-(ROW()-25))+1)/2))/($B$10+$B$7*(ROUND(($B$5-$B$12)/$B$6,0)-(ROW()-25))),$B$5))</f>
        <v/>
      </c>
      <c r="J57" s="20">
        <f>IF(B57="","",H57*B57)</f>
        <v/>
      </c>
      <c r="K57" s="20">
        <f>IF(B57="","",IF(C57="CURRENT","N/A",$B$6*$B$7))</f>
        <v/>
      </c>
      <c r="L57" s="20">
        <f>IF(B57="","",IF(C57="CURRENT","N/A",2*MAX($B$8,E57*$B$9)))</f>
        <v/>
      </c>
      <c r="M57" s="20">
        <f>IF(B57="","",IF(C57="CURRENT","N/A",K57-L57))</f>
        <v/>
      </c>
      <c r="N57" s="20">
        <f>IF(B57="","",N56+IF(ISNUMBER(M57),M57,0))</f>
        <v/>
      </c>
    </row>
    <row r="58" ht="17" customHeight="1">
      <c r="A58" s="17">
        <f>IF(B58="","",ROW()-24)</f>
        <v/>
      </c>
      <c r="B58" s="18">
        <f>IF(ROUND($B$12+(ROW()-25)*$B$6,4)&lt;=$B$11,ROUND($B$12+(ROW()-25)*$B$6,4),"")</f>
        <v/>
      </c>
      <c r="C58" s="17">
        <f>IF(B58="","",IF(ROUND(B58,4)&lt;ROUND($B$5,4),"BUY",IF(ROUND(B58,4)&gt;ROUND($B$5,4),"SELL","CURRENT")))</f>
        <v/>
      </c>
      <c r="D58" s="19">
        <f>IF(B58="","",$B$7)</f>
        <v/>
      </c>
      <c r="E58" s="20">
        <f>IF(B58="","",B58*$B$7)</f>
        <v/>
      </c>
      <c r="F58" s="20">
        <f>IF(B58="","",MAX($B$8,E58*$B$9))</f>
        <v/>
      </c>
      <c r="G58" s="21">
        <f>IF(B58="","",IF(C58="BUY",$B$7,IF(C58="SELL",-$B$7,0)))</f>
        <v/>
      </c>
      <c r="H58" s="19">
        <f>IF(B58="","",$B$10+$B$7*(ROUND(($B$5-$B$12)/$B$6,0)-(ROW()-25)))</f>
        <v/>
      </c>
      <c r="I58" s="18">
        <f>IF(B58="","",IF((ROUND(($B$5-$B$12)/$B$6,0)-(ROW()-25))&gt;=0,($B$10*$B$5+$B$7*(ROUND(($B$5-$B$12)/$B$6,0)-(ROW()-25))*($B$5-$B$6*((ROUND(($B$5-$B$12)/$B$6,0)-(ROW()-25))+1)/2))/($B$10+$B$7*(ROUND(($B$5-$B$12)/$B$6,0)-(ROW()-25))),$B$5))</f>
        <v/>
      </c>
      <c r="J58" s="20">
        <f>IF(B58="","",H58*B58)</f>
        <v/>
      </c>
      <c r="K58" s="20">
        <f>IF(B58="","",IF(C58="CURRENT","N/A",$B$6*$B$7))</f>
        <v/>
      </c>
      <c r="L58" s="20">
        <f>IF(B58="","",IF(C58="CURRENT","N/A",2*MAX($B$8,E58*$B$9)))</f>
        <v/>
      </c>
      <c r="M58" s="20">
        <f>IF(B58="","",IF(C58="CURRENT","N/A",K58-L58))</f>
        <v/>
      </c>
      <c r="N58" s="20">
        <f>IF(B58="","",N57+IF(ISNUMBER(M58),M58,0))</f>
        <v/>
      </c>
    </row>
    <row r="59" ht="17" customHeight="1">
      <c r="A59" s="17">
        <f>IF(B59="","",ROW()-24)</f>
        <v/>
      </c>
      <c r="B59" s="18">
        <f>IF(ROUND($B$12+(ROW()-25)*$B$6,4)&lt;=$B$11,ROUND($B$12+(ROW()-25)*$B$6,4),"")</f>
        <v/>
      </c>
      <c r="C59" s="17">
        <f>IF(B59="","",IF(ROUND(B59,4)&lt;ROUND($B$5,4),"BUY",IF(ROUND(B59,4)&gt;ROUND($B$5,4),"SELL","CURRENT")))</f>
        <v/>
      </c>
      <c r="D59" s="19">
        <f>IF(B59="","",$B$7)</f>
        <v/>
      </c>
      <c r="E59" s="20">
        <f>IF(B59="","",B59*$B$7)</f>
        <v/>
      </c>
      <c r="F59" s="20">
        <f>IF(B59="","",MAX($B$8,E59*$B$9))</f>
        <v/>
      </c>
      <c r="G59" s="21">
        <f>IF(B59="","",IF(C59="BUY",$B$7,IF(C59="SELL",-$B$7,0)))</f>
        <v/>
      </c>
      <c r="H59" s="19">
        <f>IF(B59="","",$B$10+$B$7*(ROUND(($B$5-$B$12)/$B$6,0)-(ROW()-25)))</f>
        <v/>
      </c>
      <c r="I59" s="18">
        <f>IF(B59="","",IF((ROUND(($B$5-$B$12)/$B$6,0)-(ROW()-25))&gt;=0,($B$10*$B$5+$B$7*(ROUND(($B$5-$B$12)/$B$6,0)-(ROW()-25))*($B$5-$B$6*((ROUND(($B$5-$B$12)/$B$6,0)-(ROW()-25))+1)/2))/($B$10+$B$7*(ROUND(($B$5-$B$12)/$B$6,0)-(ROW()-25))),$B$5))</f>
        <v/>
      </c>
      <c r="J59" s="20">
        <f>IF(B59="","",H59*B59)</f>
        <v/>
      </c>
      <c r="K59" s="20">
        <f>IF(B59="","",IF(C59="CURRENT","N/A",$B$6*$B$7))</f>
        <v/>
      </c>
      <c r="L59" s="20">
        <f>IF(B59="","",IF(C59="CURRENT","N/A",2*MAX($B$8,E59*$B$9)))</f>
        <v/>
      </c>
      <c r="M59" s="20">
        <f>IF(B59="","",IF(C59="CURRENT","N/A",K59-L59))</f>
        <v/>
      </c>
      <c r="N59" s="20">
        <f>IF(B59="","",N58+IF(ISNUMBER(M59),M59,0))</f>
        <v/>
      </c>
    </row>
    <row r="60" ht="17" customHeight="1">
      <c r="A60" s="17">
        <f>IF(B60="","",ROW()-24)</f>
        <v/>
      </c>
      <c r="B60" s="18">
        <f>IF(ROUND($B$12+(ROW()-25)*$B$6,4)&lt;=$B$11,ROUND($B$12+(ROW()-25)*$B$6,4),"")</f>
        <v/>
      </c>
      <c r="C60" s="17">
        <f>IF(B60="","",IF(ROUND(B60,4)&lt;ROUND($B$5,4),"BUY",IF(ROUND(B60,4)&gt;ROUND($B$5,4),"SELL","CURRENT")))</f>
        <v/>
      </c>
      <c r="D60" s="19">
        <f>IF(B60="","",$B$7)</f>
        <v/>
      </c>
      <c r="E60" s="20">
        <f>IF(B60="","",B60*$B$7)</f>
        <v/>
      </c>
      <c r="F60" s="20">
        <f>IF(B60="","",MAX($B$8,E60*$B$9))</f>
        <v/>
      </c>
      <c r="G60" s="21">
        <f>IF(B60="","",IF(C60="BUY",$B$7,IF(C60="SELL",-$B$7,0)))</f>
        <v/>
      </c>
      <c r="H60" s="19">
        <f>IF(B60="","",$B$10+$B$7*(ROUND(($B$5-$B$12)/$B$6,0)-(ROW()-25)))</f>
        <v/>
      </c>
      <c r="I60" s="18">
        <f>IF(B60="","",IF((ROUND(($B$5-$B$12)/$B$6,0)-(ROW()-25))&gt;=0,($B$10*$B$5+$B$7*(ROUND(($B$5-$B$12)/$B$6,0)-(ROW()-25))*($B$5-$B$6*((ROUND(($B$5-$B$12)/$B$6,0)-(ROW()-25))+1)/2))/($B$10+$B$7*(ROUND(($B$5-$B$12)/$B$6,0)-(ROW()-25))),$B$5))</f>
        <v/>
      </c>
      <c r="J60" s="20">
        <f>IF(B60="","",H60*B60)</f>
        <v/>
      </c>
      <c r="K60" s="20">
        <f>IF(B60="","",IF(C60="CURRENT","N/A",$B$6*$B$7))</f>
        <v/>
      </c>
      <c r="L60" s="20">
        <f>IF(B60="","",IF(C60="CURRENT","N/A",2*MAX($B$8,E60*$B$9)))</f>
        <v/>
      </c>
      <c r="M60" s="20">
        <f>IF(B60="","",IF(C60="CURRENT","N/A",K60-L60))</f>
        <v/>
      </c>
      <c r="N60" s="20">
        <f>IF(B60="","",N59+IF(ISNUMBER(M60),M60,0))</f>
        <v/>
      </c>
    </row>
    <row r="61" ht="17" customHeight="1">
      <c r="A61" s="17">
        <f>IF(B61="","",ROW()-24)</f>
        <v/>
      </c>
      <c r="B61" s="18">
        <f>IF(ROUND($B$12+(ROW()-25)*$B$6,4)&lt;=$B$11,ROUND($B$12+(ROW()-25)*$B$6,4),"")</f>
        <v/>
      </c>
      <c r="C61" s="17">
        <f>IF(B61="","",IF(ROUND(B61,4)&lt;ROUND($B$5,4),"BUY",IF(ROUND(B61,4)&gt;ROUND($B$5,4),"SELL","CURRENT")))</f>
        <v/>
      </c>
      <c r="D61" s="19">
        <f>IF(B61="","",$B$7)</f>
        <v/>
      </c>
      <c r="E61" s="20">
        <f>IF(B61="","",B61*$B$7)</f>
        <v/>
      </c>
      <c r="F61" s="20">
        <f>IF(B61="","",MAX($B$8,E61*$B$9))</f>
        <v/>
      </c>
      <c r="G61" s="21">
        <f>IF(B61="","",IF(C61="BUY",$B$7,IF(C61="SELL",-$B$7,0)))</f>
        <v/>
      </c>
      <c r="H61" s="19">
        <f>IF(B61="","",$B$10+$B$7*(ROUND(($B$5-$B$12)/$B$6,0)-(ROW()-25)))</f>
        <v/>
      </c>
      <c r="I61" s="18">
        <f>IF(B61="","",IF((ROUND(($B$5-$B$12)/$B$6,0)-(ROW()-25))&gt;=0,($B$10*$B$5+$B$7*(ROUND(($B$5-$B$12)/$B$6,0)-(ROW()-25))*($B$5-$B$6*((ROUND(($B$5-$B$12)/$B$6,0)-(ROW()-25))+1)/2))/($B$10+$B$7*(ROUND(($B$5-$B$12)/$B$6,0)-(ROW()-25))),$B$5))</f>
        <v/>
      </c>
      <c r="J61" s="20">
        <f>IF(B61="","",H61*B61)</f>
        <v/>
      </c>
      <c r="K61" s="20">
        <f>IF(B61="","",IF(C61="CURRENT","N/A",$B$6*$B$7))</f>
        <v/>
      </c>
      <c r="L61" s="20">
        <f>IF(B61="","",IF(C61="CURRENT","N/A",2*MAX($B$8,E61*$B$9)))</f>
        <v/>
      </c>
      <c r="M61" s="20">
        <f>IF(B61="","",IF(C61="CURRENT","N/A",K61-L61))</f>
        <v/>
      </c>
      <c r="N61" s="20">
        <f>IF(B61="","",N60+IF(ISNUMBER(M61),M61,0))</f>
        <v/>
      </c>
    </row>
    <row r="62" ht="17" customHeight="1">
      <c r="A62" s="17">
        <f>IF(B62="","",ROW()-24)</f>
        <v/>
      </c>
      <c r="B62" s="18">
        <f>IF(ROUND($B$12+(ROW()-25)*$B$6,4)&lt;=$B$11,ROUND($B$12+(ROW()-25)*$B$6,4),"")</f>
        <v/>
      </c>
      <c r="C62" s="17">
        <f>IF(B62="","",IF(ROUND(B62,4)&lt;ROUND($B$5,4),"BUY",IF(ROUND(B62,4)&gt;ROUND($B$5,4),"SELL","CURRENT")))</f>
        <v/>
      </c>
      <c r="D62" s="19">
        <f>IF(B62="","",$B$7)</f>
        <v/>
      </c>
      <c r="E62" s="20">
        <f>IF(B62="","",B62*$B$7)</f>
        <v/>
      </c>
      <c r="F62" s="20">
        <f>IF(B62="","",MAX($B$8,E62*$B$9))</f>
        <v/>
      </c>
      <c r="G62" s="21">
        <f>IF(B62="","",IF(C62="BUY",$B$7,IF(C62="SELL",-$B$7,0)))</f>
        <v/>
      </c>
      <c r="H62" s="19">
        <f>IF(B62="","",$B$10+$B$7*(ROUND(($B$5-$B$12)/$B$6,0)-(ROW()-25)))</f>
        <v/>
      </c>
      <c r="I62" s="18">
        <f>IF(B62="","",IF((ROUND(($B$5-$B$12)/$B$6,0)-(ROW()-25))&gt;=0,($B$10*$B$5+$B$7*(ROUND(($B$5-$B$12)/$B$6,0)-(ROW()-25))*($B$5-$B$6*((ROUND(($B$5-$B$12)/$B$6,0)-(ROW()-25))+1)/2))/($B$10+$B$7*(ROUND(($B$5-$B$12)/$B$6,0)-(ROW()-25))),$B$5))</f>
        <v/>
      </c>
      <c r="J62" s="20">
        <f>IF(B62="","",H62*B62)</f>
        <v/>
      </c>
      <c r="K62" s="20">
        <f>IF(B62="","",IF(C62="CURRENT","N/A",$B$6*$B$7))</f>
        <v/>
      </c>
      <c r="L62" s="20">
        <f>IF(B62="","",IF(C62="CURRENT","N/A",2*MAX($B$8,E62*$B$9)))</f>
        <v/>
      </c>
      <c r="M62" s="20">
        <f>IF(B62="","",IF(C62="CURRENT","N/A",K62-L62))</f>
        <v/>
      </c>
      <c r="N62" s="20">
        <f>IF(B62="","",N61+IF(ISNUMBER(M62),M62,0))</f>
        <v/>
      </c>
    </row>
    <row r="63" ht="17" customHeight="1">
      <c r="A63" s="17">
        <f>IF(B63="","",ROW()-24)</f>
        <v/>
      </c>
      <c r="B63" s="18">
        <f>IF(ROUND($B$12+(ROW()-25)*$B$6,4)&lt;=$B$11,ROUND($B$12+(ROW()-25)*$B$6,4),"")</f>
        <v/>
      </c>
      <c r="C63" s="17">
        <f>IF(B63="","",IF(ROUND(B63,4)&lt;ROUND($B$5,4),"BUY",IF(ROUND(B63,4)&gt;ROUND($B$5,4),"SELL","CURRENT")))</f>
        <v/>
      </c>
      <c r="D63" s="19">
        <f>IF(B63="","",$B$7)</f>
        <v/>
      </c>
      <c r="E63" s="20">
        <f>IF(B63="","",B63*$B$7)</f>
        <v/>
      </c>
      <c r="F63" s="20">
        <f>IF(B63="","",MAX($B$8,E63*$B$9))</f>
        <v/>
      </c>
      <c r="G63" s="21">
        <f>IF(B63="","",IF(C63="BUY",$B$7,IF(C63="SELL",-$B$7,0)))</f>
        <v/>
      </c>
      <c r="H63" s="19">
        <f>IF(B63="","",$B$10+$B$7*(ROUND(($B$5-$B$12)/$B$6,0)-(ROW()-25)))</f>
        <v/>
      </c>
      <c r="I63" s="18">
        <f>IF(B63="","",IF((ROUND(($B$5-$B$12)/$B$6,0)-(ROW()-25))&gt;=0,($B$10*$B$5+$B$7*(ROUND(($B$5-$B$12)/$B$6,0)-(ROW()-25))*($B$5-$B$6*((ROUND(($B$5-$B$12)/$B$6,0)-(ROW()-25))+1)/2))/($B$10+$B$7*(ROUND(($B$5-$B$12)/$B$6,0)-(ROW()-25))),$B$5))</f>
        <v/>
      </c>
      <c r="J63" s="20">
        <f>IF(B63="","",H63*B63)</f>
        <v/>
      </c>
      <c r="K63" s="20">
        <f>IF(B63="","",IF(C63="CURRENT","N/A",$B$6*$B$7))</f>
        <v/>
      </c>
      <c r="L63" s="20">
        <f>IF(B63="","",IF(C63="CURRENT","N/A",2*MAX($B$8,E63*$B$9)))</f>
        <v/>
      </c>
      <c r="M63" s="20">
        <f>IF(B63="","",IF(C63="CURRENT","N/A",K63-L63))</f>
        <v/>
      </c>
      <c r="N63" s="20">
        <f>IF(B63="","",N62+IF(ISNUMBER(M63),M63,0))</f>
        <v/>
      </c>
    </row>
    <row r="64" ht="17" customHeight="1">
      <c r="A64" s="17">
        <f>IF(B64="","",ROW()-24)</f>
        <v/>
      </c>
      <c r="B64" s="18">
        <f>IF(ROUND($B$12+(ROW()-25)*$B$6,4)&lt;=$B$11,ROUND($B$12+(ROW()-25)*$B$6,4),"")</f>
        <v/>
      </c>
      <c r="C64" s="17">
        <f>IF(B64="","",IF(ROUND(B64,4)&lt;ROUND($B$5,4),"BUY",IF(ROUND(B64,4)&gt;ROUND($B$5,4),"SELL","CURRENT")))</f>
        <v/>
      </c>
      <c r="D64" s="19">
        <f>IF(B64="","",$B$7)</f>
        <v/>
      </c>
      <c r="E64" s="20">
        <f>IF(B64="","",B64*$B$7)</f>
        <v/>
      </c>
      <c r="F64" s="20">
        <f>IF(B64="","",MAX($B$8,E64*$B$9))</f>
        <v/>
      </c>
      <c r="G64" s="21">
        <f>IF(B64="","",IF(C64="BUY",$B$7,IF(C64="SELL",-$B$7,0)))</f>
        <v/>
      </c>
      <c r="H64" s="19">
        <f>IF(B64="","",$B$10+$B$7*(ROUND(($B$5-$B$12)/$B$6,0)-(ROW()-25)))</f>
        <v/>
      </c>
      <c r="I64" s="18">
        <f>IF(B64="","",IF((ROUND(($B$5-$B$12)/$B$6,0)-(ROW()-25))&gt;=0,($B$10*$B$5+$B$7*(ROUND(($B$5-$B$12)/$B$6,0)-(ROW()-25))*($B$5-$B$6*((ROUND(($B$5-$B$12)/$B$6,0)-(ROW()-25))+1)/2))/($B$10+$B$7*(ROUND(($B$5-$B$12)/$B$6,0)-(ROW()-25))),$B$5))</f>
        <v/>
      </c>
      <c r="J64" s="20">
        <f>IF(B64="","",H64*B64)</f>
        <v/>
      </c>
      <c r="K64" s="20">
        <f>IF(B64="","",IF(C64="CURRENT","N/A",$B$6*$B$7))</f>
        <v/>
      </c>
      <c r="L64" s="20">
        <f>IF(B64="","",IF(C64="CURRENT","N/A",2*MAX($B$8,E64*$B$9)))</f>
        <v/>
      </c>
      <c r="M64" s="20">
        <f>IF(B64="","",IF(C64="CURRENT","N/A",K64-L64))</f>
        <v/>
      </c>
      <c r="N64" s="20">
        <f>IF(B64="","",N63+IF(ISNUMBER(M64),M64,0))</f>
        <v/>
      </c>
    </row>
    <row r="65" ht="17" customHeight="1">
      <c r="A65" s="17">
        <f>IF(B65="","",ROW()-24)</f>
        <v/>
      </c>
      <c r="B65" s="18">
        <f>IF(ROUND($B$12+(ROW()-25)*$B$6,4)&lt;=$B$11,ROUND($B$12+(ROW()-25)*$B$6,4),"")</f>
        <v/>
      </c>
      <c r="C65" s="17">
        <f>IF(B65="","",IF(ROUND(B65,4)&lt;ROUND($B$5,4),"BUY",IF(ROUND(B65,4)&gt;ROUND($B$5,4),"SELL","CURRENT")))</f>
        <v/>
      </c>
      <c r="D65" s="19">
        <f>IF(B65="","",$B$7)</f>
        <v/>
      </c>
      <c r="E65" s="20">
        <f>IF(B65="","",B65*$B$7)</f>
        <v/>
      </c>
      <c r="F65" s="20">
        <f>IF(B65="","",MAX($B$8,E65*$B$9))</f>
        <v/>
      </c>
      <c r="G65" s="21">
        <f>IF(B65="","",IF(C65="BUY",$B$7,IF(C65="SELL",-$B$7,0)))</f>
        <v/>
      </c>
      <c r="H65" s="19">
        <f>IF(B65="","",$B$10+$B$7*(ROUND(($B$5-$B$12)/$B$6,0)-(ROW()-25)))</f>
        <v/>
      </c>
      <c r="I65" s="18">
        <f>IF(B65="","",IF((ROUND(($B$5-$B$12)/$B$6,0)-(ROW()-25))&gt;=0,($B$10*$B$5+$B$7*(ROUND(($B$5-$B$12)/$B$6,0)-(ROW()-25))*($B$5-$B$6*((ROUND(($B$5-$B$12)/$B$6,0)-(ROW()-25))+1)/2))/($B$10+$B$7*(ROUND(($B$5-$B$12)/$B$6,0)-(ROW()-25))),$B$5))</f>
        <v/>
      </c>
      <c r="J65" s="20">
        <f>IF(B65="","",H65*B65)</f>
        <v/>
      </c>
      <c r="K65" s="20">
        <f>IF(B65="","",IF(C65="CURRENT","N/A",$B$6*$B$7))</f>
        <v/>
      </c>
      <c r="L65" s="20">
        <f>IF(B65="","",IF(C65="CURRENT","N/A",2*MAX($B$8,E65*$B$9)))</f>
        <v/>
      </c>
      <c r="M65" s="20">
        <f>IF(B65="","",IF(C65="CURRENT","N/A",K65-L65))</f>
        <v/>
      </c>
      <c r="N65" s="20">
        <f>IF(B65="","",N64+IF(ISNUMBER(M65),M65,0))</f>
        <v/>
      </c>
    </row>
    <row r="66" ht="17" customHeight="1">
      <c r="A66" s="17">
        <f>IF(B66="","",ROW()-24)</f>
        <v/>
      </c>
      <c r="B66" s="18">
        <f>IF(ROUND($B$12+(ROW()-25)*$B$6,4)&lt;=$B$11,ROUND($B$12+(ROW()-25)*$B$6,4),"")</f>
        <v/>
      </c>
      <c r="C66" s="17">
        <f>IF(B66="","",IF(ROUND(B66,4)&lt;ROUND($B$5,4),"BUY",IF(ROUND(B66,4)&gt;ROUND($B$5,4),"SELL","CURRENT")))</f>
        <v/>
      </c>
      <c r="D66" s="19">
        <f>IF(B66="","",$B$7)</f>
        <v/>
      </c>
      <c r="E66" s="20">
        <f>IF(B66="","",B66*$B$7)</f>
        <v/>
      </c>
      <c r="F66" s="20">
        <f>IF(B66="","",MAX($B$8,E66*$B$9))</f>
        <v/>
      </c>
      <c r="G66" s="21">
        <f>IF(B66="","",IF(C66="BUY",$B$7,IF(C66="SELL",-$B$7,0)))</f>
        <v/>
      </c>
      <c r="H66" s="19">
        <f>IF(B66="","",$B$10+$B$7*(ROUND(($B$5-$B$12)/$B$6,0)-(ROW()-25)))</f>
        <v/>
      </c>
      <c r="I66" s="18">
        <f>IF(B66="","",IF((ROUND(($B$5-$B$12)/$B$6,0)-(ROW()-25))&gt;=0,($B$10*$B$5+$B$7*(ROUND(($B$5-$B$12)/$B$6,0)-(ROW()-25))*($B$5-$B$6*((ROUND(($B$5-$B$12)/$B$6,0)-(ROW()-25))+1)/2))/($B$10+$B$7*(ROUND(($B$5-$B$12)/$B$6,0)-(ROW()-25))),$B$5))</f>
        <v/>
      </c>
      <c r="J66" s="20">
        <f>IF(B66="","",H66*B66)</f>
        <v/>
      </c>
      <c r="K66" s="20">
        <f>IF(B66="","",IF(C66="CURRENT","N/A",$B$6*$B$7))</f>
        <v/>
      </c>
      <c r="L66" s="20">
        <f>IF(B66="","",IF(C66="CURRENT","N/A",2*MAX($B$8,E66*$B$9)))</f>
        <v/>
      </c>
      <c r="M66" s="20">
        <f>IF(B66="","",IF(C66="CURRENT","N/A",K66-L66))</f>
        <v/>
      </c>
      <c r="N66" s="20">
        <f>IF(B66="","",N65+IF(ISNUMBER(M66),M66,0))</f>
        <v/>
      </c>
    </row>
    <row r="67" ht="17" customHeight="1">
      <c r="A67" s="17">
        <f>IF(B67="","",ROW()-24)</f>
        <v/>
      </c>
      <c r="B67" s="18">
        <f>IF(ROUND($B$12+(ROW()-25)*$B$6,4)&lt;=$B$11,ROUND($B$12+(ROW()-25)*$B$6,4),"")</f>
        <v/>
      </c>
      <c r="C67" s="17">
        <f>IF(B67="","",IF(ROUND(B67,4)&lt;ROUND($B$5,4),"BUY",IF(ROUND(B67,4)&gt;ROUND($B$5,4),"SELL","CURRENT")))</f>
        <v/>
      </c>
      <c r="D67" s="19">
        <f>IF(B67="","",$B$7)</f>
        <v/>
      </c>
      <c r="E67" s="20">
        <f>IF(B67="","",B67*$B$7)</f>
        <v/>
      </c>
      <c r="F67" s="20">
        <f>IF(B67="","",MAX($B$8,E67*$B$9))</f>
        <v/>
      </c>
      <c r="G67" s="21">
        <f>IF(B67="","",IF(C67="BUY",$B$7,IF(C67="SELL",-$B$7,0)))</f>
        <v/>
      </c>
      <c r="H67" s="19">
        <f>IF(B67="","",$B$10+$B$7*(ROUND(($B$5-$B$12)/$B$6,0)-(ROW()-25)))</f>
        <v/>
      </c>
      <c r="I67" s="18">
        <f>IF(B67="","",IF((ROUND(($B$5-$B$12)/$B$6,0)-(ROW()-25))&gt;=0,($B$10*$B$5+$B$7*(ROUND(($B$5-$B$12)/$B$6,0)-(ROW()-25))*($B$5-$B$6*((ROUND(($B$5-$B$12)/$B$6,0)-(ROW()-25))+1)/2))/($B$10+$B$7*(ROUND(($B$5-$B$12)/$B$6,0)-(ROW()-25))),$B$5))</f>
        <v/>
      </c>
      <c r="J67" s="20">
        <f>IF(B67="","",H67*B67)</f>
        <v/>
      </c>
      <c r="K67" s="20">
        <f>IF(B67="","",IF(C67="CURRENT","N/A",$B$6*$B$7))</f>
        <v/>
      </c>
      <c r="L67" s="20">
        <f>IF(B67="","",IF(C67="CURRENT","N/A",2*MAX($B$8,E67*$B$9)))</f>
        <v/>
      </c>
      <c r="M67" s="20">
        <f>IF(B67="","",IF(C67="CURRENT","N/A",K67-L67))</f>
        <v/>
      </c>
      <c r="N67" s="20">
        <f>IF(B67="","",N66+IF(ISNUMBER(M67),M67,0))</f>
        <v/>
      </c>
    </row>
    <row r="68" ht="17" customHeight="1">
      <c r="A68" s="17">
        <f>IF(B68="","",ROW()-24)</f>
        <v/>
      </c>
      <c r="B68" s="18">
        <f>IF(ROUND($B$12+(ROW()-25)*$B$6,4)&lt;=$B$11,ROUND($B$12+(ROW()-25)*$B$6,4),"")</f>
        <v/>
      </c>
      <c r="C68" s="17">
        <f>IF(B68="","",IF(ROUND(B68,4)&lt;ROUND($B$5,4),"BUY",IF(ROUND(B68,4)&gt;ROUND($B$5,4),"SELL","CURRENT")))</f>
        <v/>
      </c>
      <c r="D68" s="19">
        <f>IF(B68="","",$B$7)</f>
        <v/>
      </c>
      <c r="E68" s="20">
        <f>IF(B68="","",B68*$B$7)</f>
        <v/>
      </c>
      <c r="F68" s="20">
        <f>IF(B68="","",MAX($B$8,E68*$B$9))</f>
        <v/>
      </c>
      <c r="G68" s="21">
        <f>IF(B68="","",IF(C68="BUY",$B$7,IF(C68="SELL",-$B$7,0)))</f>
        <v/>
      </c>
      <c r="H68" s="19">
        <f>IF(B68="","",$B$10+$B$7*(ROUND(($B$5-$B$12)/$B$6,0)-(ROW()-25)))</f>
        <v/>
      </c>
      <c r="I68" s="18">
        <f>IF(B68="","",IF((ROUND(($B$5-$B$12)/$B$6,0)-(ROW()-25))&gt;=0,($B$10*$B$5+$B$7*(ROUND(($B$5-$B$12)/$B$6,0)-(ROW()-25))*($B$5-$B$6*((ROUND(($B$5-$B$12)/$B$6,0)-(ROW()-25))+1)/2))/($B$10+$B$7*(ROUND(($B$5-$B$12)/$B$6,0)-(ROW()-25))),$B$5))</f>
        <v/>
      </c>
      <c r="J68" s="20">
        <f>IF(B68="","",H68*B68)</f>
        <v/>
      </c>
      <c r="K68" s="20">
        <f>IF(B68="","",IF(C68="CURRENT","N/A",$B$6*$B$7))</f>
        <v/>
      </c>
      <c r="L68" s="20">
        <f>IF(B68="","",IF(C68="CURRENT","N/A",2*MAX($B$8,E68*$B$9)))</f>
        <v/>
      </c>
      <c r="M68" s="20">
        <f>IF(B68="","",IF(C68="CURRENT","N/A",K68-L68))</f>
        <v/>
      </c>
      <c r="N68" s="20">
        <f>IF(B68="","",N67+IF(ISNUMBER(M68),M68,0))</f>
        <v/>
      </c>
    </row>
    <row r="69" ht="17" customHeight="1">
      <c r="A69" s="17">
        <f>IF(B69="","",ROW()-24)</f>
        <v/>
      </c>
      <c r="B69" s="18">
        <f>IF(ROUND($B$12+(ROW()-25)*$B$6,4)&lt;=$B$11,ROUND($B$12+(ROW()-25)*$B$6,4),"")</f>
        <v/>
      </c>
      <c r="C69" s="17">
        <f>IF(B69="","",IF(ROUND(B69,4)&lt;ROUND($B$5,4),"BUY",IF(ROUND(B69,4)&gt;ROUND($B$5,4),"SELL","CURRENT")))</f>
        <v/>
      </c>
      <c r="D69" s="19">
        <f>IF(B69="","",$B$7)</f>
        <v/>
      </c>
      <c r="E69" s="20">
        <f>IF(B69="","",B69*$B$7)</f>
        <v/>
      </c>
      <c r="F69" s="20">
        <f>IF(B69="","",MAX($B$8,E69*$B$9))</f>
        <v/>
      </c>
      <c r="G69" s="21">
        <f>IF(B69="","",IF(C69="BUY",$B$7,IF(C69="SELL",-$B$7,0)))</f>
        <v/>
      </c>
      <c r="H69" s="19">
        <f>IF(B69="","",$B$10+$B$7*(ROUND(($B$5-$B$12)/$B$6,0)-(ROW()-25)))</f>
        <v/>
      </c>
      <c r="I69" s="18">
        <f>IF(B69="","",IF((ROUND(($B$5-$B$12)/$B$6,0)-(ROW()-25))&gt;=0,($B$10*$B$5+$B$7*(ROUND(($B$5-$B$12)/$B$6,0)-(ROW()-25))*($B$5-$B$6*((ROUND(($B$5-$B$12)/$B$6,0)-(ROW()-25))+1)/2))/($B$10+$B$7*(ROUND(($B$5-$B$12)/$B$6,0)-(ROW()-25))),$B$5))</f>
        <v/>
      </c>
      <c r="J69" s="20">
        <f>IF(B69="","",H69*B69)</f>
        <v/>
      </c>
      <c r="K69" s="20">
        <f>IF(B69="","",IF(C69="CURRENT","N/A",$B$6*$B$7))</f>
        <v/>
      </c>
      <c r="L69" s="20">
        <f>IF(B69="","",IF(C69="CURRENT","N/A",2*MAX($B$8,E69*$B$9)))</f>
        <v/>
      </c>
      <c r="M69" s="20">
        <f>IF(B69="","",IF(C69="CURRENT","N/A",K69-L69))</f>
        <v/>
      </c>
      <c r="N69" s="20">
        <f>IF(B69="","",N68+IF(ISNUMBER(M69),M69,0))</f>
        <v/>
      </c>
    </row>
    <row r="70" ht="17" customHeight="1">
      <c r="A70" s="17">
        <f>IF(B70="","",ROW()-24)</f>
        <v/>
      </c>
      <c r="B70" s="18">
        <f>IF(ROUND($B$12+(ROW()-25)*$B$6,4)&lt;=$B$11,ROUND($B$12+(ROW()-25)*$B$6,4),"")</f>
        <v/>
      </c>
      <c r="C70" s="17">
        <f>IF(B70="","",IF(ROUND(B70,4)&lt;ROUND($B$5,4),"BUY",IF(ROUND(B70,4)&gt;ROUND($B$5,4),"SELL","CURRENT")))</f>
        <v/>
      </c>
      <c r="D70" s="19">
        <f>IF(B70="","",$B$7)</f>
        <v/>
      </c>
      <c r="E70" s="20">
        <f>IF(B70="","",B70*$B$7)</f>
        <v/>
      </c>
      <c r="F70" s="20">
        <f>IF(B70="","",MAX($B$8,E70*$B$9))</f>
        <v/>
      </c>
      <c r="G70" s="21">
        <f>IF(B70="","",IF(C70="BUY",$B$7,IF(C70="SELL",-$B$7,0)))</f>
        <v/>
      </c>
      <c r="H70" s="19">
        <f>IF(B70="","",$B$10+$B$7*(ROUND(($B$5-$B$12)/$B$6,0)-(ROW()-25)))</f>
        <v/>
      </c>
      <c r="I70" s="18">
        <f>IF(B70="","",IF((ROUND(($B$5-$B$12)/$B$6,0)-(ROW()-25))&gt;=0,($B$10*$B$5+$B$7*(ROUND(($B$5-$B$12)/$B$6,0)-(ROW()-25))*($B$5-$B$6*((ROUND(($B$5-$B$12)/$B$6,0)-(ROW()-25))+1)/2))/($B$10+$B$7*(ROUND(($B$5-$B$12)/$B$6,0)-(ROW()-25))),$B$5))</f>
        <v/>
      </c>
      <c r="J70" s="20">
        <f>IF(B70="","",H70*B70)</f>
        <v/>
      </c>
      <c r="K70" s="20">
        <f>IF(B70="","",IF(C70="CURRENT","N/A",$B$6*$B$7))</f>
        <v/>
      </c>
      <c r="L70" s="20">
        <f>IF(B70="","",IF(C70="CURRENT","N/A",2*MAX($B$8,E70*$B$9)))</f>
        <v/>
      </c>
      <c r="M70" s="20">
        <f>IF(B70="","",IF(C70="CURRENT","N/A",K70-L70))</f>
        <v/>
      </c>
      <c r="N70" s="20">
        <f>IF(B70="","",N69+IF(ISNUMBER(M70),M70,0))</f>
        <v/>
      </c>
    </row>
    <row r="71" ht="17" customHeight="1">
      <c r="A71" s="17">
        <f>IF(B71="","",ROW()-24)</f>
        <v/>
      </c>
      <c r="B71" s="18">
        <f>IF(ROUND($B$12+(ROW()-25)*$B$6,4)&lt;=$B$11,ROUND($B$12+(ROW()-25)*$B$6,4),"")</f>
        <v/>
      </c>
      <c r="C71" s="17">
        <f>IF(B71="","",IF(ROUND(B71,4)&lt;ROUND($B$5,4),"BUY",IF(ROUND(B71,4)&gt;ROUND($B$5,4),"SELL","CURRENT")))</f>
        <v/>
      </c>
      <c r="D71" s="19">
        <f>IF(B71="","",$B$7)</f>
        <v/>
      </c>
      <c r="E71" s="20">
        <f>IF(B71="","",B71*$B$7)</f>
        <v/>
      </c>
      <c r="F71" s="20">
        <f>IF(B71="","",MAX($B$8,E71*$B$9))</f>
        <v/>
      </c>
      <c r="G71" s="21">
        <f>IF(B71="","",IF(C71="BUY",$B$7,IF(C71="SELL",-$B$7,0)))</f>
        <v/>
      </c>
      <c r="H71" s="19">
        <f>IF(B71="","",$B$10+$B$7*(ROUND(($B$5-$B$12)/$B$6,0)-(ROW()-25)))</f>
        <v/>
      </c>
      <c r="I71" s="18">
        <f>IF(B71="","",IF((ROUND(($B$5-$B$12)/$B$6,0)-(ROW()-25))&gt;=0,($B$10*$B$5+$B$7*(ROUND(($B$5-$B$12)/$B$6,0)-(ROW()-25))*($B$5-$B$6*((ROUND(($B$5-$B$12)/$B$6,0)-(ROW()-25))+1)/2))/($B$10+$B$7*(ROUND(($B$5-$B$12)/$B$6,0)-(ROW()-25))),$B$5))</f>
        <v/>
      </c>
      <c r="J71" s="20">
        <f>IF(B71="","",H71*B71)</f>
        <v/>
      </c>
      <c r="K71" s="20">
        <f>IF(B71="","",IF(C71="CURRENT","N/A",$B$6*$B$7))</f>
        <v/>
      </c>
      <c r="L71" s="20">
        <f>IF(B71="","",IF(C71="CURRENT","N/A",2*MAX($B$8,E71*$B$9)))</f>
        <v/>
      </c>
      <c r="M71" s="20">
        <f>IF(B71="","",IF(C71="CURRENT","N/A",K71-L71))</f>
        <v/>
      </c>
      <c r="N71" s="20">
        <f>IF(B71="","",N70+IF(ISNUMBER(M71),M71,0))</f>
        <v/>
      </c>
    </row>
    <row r="72" ht="17" customHeight="1">
      <c r="A72" s="17">
        <f>IF(B72="","",ROW()-24)</f>
        <v/>
      </c>
      <c r="B72" s="18">
        <f>IF(ROUND($B$12+(ROW()-25)*$B$6,4)&lt;=$B$11,ROUND($B$12+(ROW()-25)*$B$6,4),"")</f>
        <v/>
      </c>
      <c r="C72" s="17">
        <f>IF(B72="","",IF(ROUND(B72,4)&lt;ROUND($B$5,4),"BUY",IF(ROUND(B72,4)&gt;ROUND($B$5,4),"SELL","CURRENT")))</f>
        <v/>
      </c>
      <c r="D72" s="19">
        <f>IF(B72="","",$B$7)</f>
        <v/>
      </c>
      <c r="E72" s="20">
        <f>IF(B72="","",B72*$B$7)</f>
        <v/>
      </c>
      <c r="F72" s="20">
        <f>IF(B72="","",MAX($B$8,E72*$B$9))</f>
        <v/>
      </c>
      <c r="G72" s="21">
        <f>IF(B72="","",IF(C72="BUY",$B$7,IF(C72="SELL",-$B$7,0)))</f>
        <v/>
      </c>
      <c r="H72" s="19">
        <f>IF(B72="","",$B$10+$B$7*(ROUND(($B$5-$B$12)/$B$6,0)-(ROW()-25)))</f>
        <v/>
      </c>
      <c r="I72" s="18">
        <f>IF(B72="","",IF((ROUND(($B$5-$B$12)/$B$6,0)-(ROW()-25))&gt;=0,($B$10*$B$5+$B$7*(ROUND(($B$5-$B$12)/$B$6,0)-(ROW()-25))*($B$5-$B$6*((ROUND(($B$5-$B$12)/$B$6,0)-(ROW()-25))+1)/2))/($B$10+$B$7*(ROUND(($B$5-$B$12)/$B$6,0)-(ROW()-25))),$B$5))</f>
        <v/>
      </c>
      <c r="J72" s="20">
        <f>IF(B72="","",H72*B72)</f>
        <v/>
      </c>
      <c r="K72" s="20">
        <f>IF(B72="","",IF(C72="CURRENT","N/A",$B$6*$B$7))</f>
        <v/>
      </c>
      <c r="L72" s="20">
        <f>IF(B72="","",IF(C72="CURRENT","N/A",2*MAX($B$8,E72*$B$9)))</f>
        <v/>
      </c>
      <c r="M72" s="20">
        <f>IF(B72="","",IF(C72="CURRENT","N/A",K72-L72))</f>
        <v/>
      </c>
      <c r="N72" s="20">
        <f>IF(B72="","",N71+IF(ISNUMBER(M72),M72,0))</f>
        <v/>
      </c>
    </row>
    <row r="73" ht="17" customHeight="1">
      <c r="A73" s="17">
        <f>IF(B73="","",ROW()-24)</f>
        <v/>
      </c>
      <c r="B73" s="18">
        <f>IF(ROUND($B$12+(ROW()-25)*$B$6,4)&lt;=$B$11,ROUND($B$12+(ROW()-25)*$B$6,4),"")</f>
        <v/>
      </c>
      <c r="C73" s="17">
        <f>IF(B73="","",IF(ROUND(B73,4)&lt;ROUND($B$5,4),"BUY",IF(ROUND(B73,4)&gt;ROUND($B$5,4),"SELL","CURRENT")))</f>
        <v/>
      </c>
      <c r="D73" s="19">
        <f>IF(B73="","",$B$7)</f>
        <v/>
      </c>
      <c r="E73" s="20">
        <f>IF(B73="","",B73*$B$7)</f>
        <v/>
      </c>
      <c r="F73" s="20">
        <f>IF(B73="","",MAX($B$8,E73*$B$9))</f>
        <v/>
      </c>
      <c r="G73" s="21">
        <f>IF(B73="","",IF(C73="BUY",$B$7,IF(C73="SELL",-$B$7,0)))</f>
        <v/>
      </c>
      <c r="H73" s="19">
        <f>IF(B73="","",$B$10+$B$7*(ROUND(($B$5-$B$12)/$B$6,0)-(ROW()-25)))</f>
        <v/>
      </c>
      <c r="I73" s="18">
        <f>IF(B73="","",IF((ROUND(($B$5-$B$12)/$B$6,0)-(ROW()-25))&gt;=0,($B$10*$B$5+$B$7*(ROUND(($B$5-$B$12)/$B$6,0)-(ROW()-25))*($B$5-$B$6*((ROUND(($B$5-$B$12)/$B$6,0)-(ROW()-25))+1)/2))/($B$10+$B$7*(ROUND(($B$5-$B$12)/$B$6,0)-(ROW()-25))),$B$5))</f>
        <v/>
      </c>
      <c r="J73" s="20">
        <f>IF(B73="","",H73*B73)</f>
        <v/>
      </c>
      <c r="K73" s="20">
        <f>IF(B73="","",IF(C73="CURRENT","N/A",$B$6*$B$7))</f>
        <v/>
      </c>
      <c r="L73" s="20">
        <f>IF(B73="","",IF(C73="CURRENT","N/A",2*MAX($B$8,E73*$B$9)))</f>
        <v/>
      </c>
      <c r="M73" s="20">
        <f>IF(B73="","",IF(C73="CURRENT","N/A",K73-L73))</f>
        <v/>
      </c>
      <c r="N73" s="20">
        <f>IF(B73="","",N72+IF(ISNUMBER(M73),M73,0))</f>
        <v/>
      </c>
    </row>
    <row r="74" ht="17" customHeight="1">
      <c r="A74" s="17">
        <f>IF(B74="","",ROW()-24)</f>
        <v/>
      </c>
      <c r="B74" s="18">
        <f>IF(ROUND($B$12+(ROW()-25)*$B$6,4)&lt;=$B$11,ROUND($B$12+(ROW()-25)*$B$6,4),"")</f>
        <v/>
      </c>
      <c r="C74" s="17">
        <f>IF(B74="","",IF(ROUND(B74,4)&lt;ROUND($B$5,4),"BUY",IF(ROUND(B74,4)&gt;ROUND($B$5,4),"SELL","CURRENT")))</f>
        <v/>
      </c>
      <c r="D74" s="19">
        <f>IF(B74="","",$B$7)</f>
        <v/>
      </c>
      <c r="E74" s="20">
        <f>IF(B74="","",B74*$B$7)</f>
        <v/>
      </c>
      <c r="F74" s="20">
        <f>IF(B74="","",MAX($B$8,E74*$B$9))</f>
        <v/>
      </c>
      <c r="G74" s="21">
        <f>IF(B74="","",IF(C74="BUY",$B$7,IF(C74="SELL",-$B$7,0)))</f>
        <v/>
      </c>
      <c r="H74" s="19">
        <f>IF(B74="","",$B$10+$B$7*(ROUND(($B$5-$B$12)/$B$6,0)-(ROW()-25)))</f>
        <v/>
      </c>
      <c r="I74" s="18">
        <f>IF(B74="","",IF((ROUND(($B$5-$B$12)/$B$6,0)-(ROW()-25))&gt;=0,($B$10*$B$5+$B$7*(ROUND(($B$5-$B$12)/$B$6,0)-(ROW()-25))*($B$5-$B$6*((ROUND(($B$5-$B$12)/$B$6,0)-(ROW()-25))+1)/2))/($B$10+$B$7*(ROUND(($B$5-$B$12)/$B$6,0)-(ROW()-25))),$B$5))</f>
        <v/>
      </c>
      <c r="J74" s="20">
        <f>IF(B74="","",H74*B74)</f>
        <v/>
      </c>
      <c r="K74" s="20">
        <f>IF(B74="","",IF(C74="CURRENT","N/A",$B$6*$B$7))</f>
        <v/>
      </c>
      <c r="L74" s="20">
        <f>IF(B74="","",IF(C74="CURRENT","N/A",2*MAX($B$8,E74*$B$9)))</f>
        <v/>
      </c>
      <c r="M74" s="20">
        <f>IF(B74="","",IF(C74="CURRENT","N/A",K74-L74))</f>
        <v/>
      </c>
      <c r="N74" s="20">
        <f>IF(B74="","",N73+IF(ISNUMBER(M74),M74,0))</f>
        <v/>
      </c>
    </row>
    <row r="75" ht="17" customHeight="1">
      <c r="A75" s="17">
        <f>IF(B75="","",ROW()-24)</f>
        <v/>
      </c>
      <c r="B75" s="18">
        <f>IF(ROUND($B$12+(ROW()-25)*$B$6,4)&lt;=$B$11,ROUND($B$12+(ROW()-25)*$B$6,4),"")</f>
        <v/>
      </c>
      <c r="C75" s="17">
        <f>IF(B75="","",IF(ROUND(B75,4)&lt;ROUND($B$5,4),"BUY",IF(ROUND(B75,4)&gt;ROUND($B$5,4),"SELL","CURRENT")))</f>
        <v/>
      </c>
      <c r="D75" s="19">
        <f>IF(B75="","",$B$7)</f>
        <v/>
      </c>
      <c r="E75" s="20">
        <f>IF(B75="","",B75*$B$7)</f>
        <v/>
      </c>
      <c r="F75" s="20">
        <f>IF(B75="","",MAX($B$8,E75*$B$9))</f>
        <v/>
      </c>
      <c r="G75" s="21">
        <f>IF(B75="","",IF(C75="BUY",$B$7,IF(C75="SELL",-$B$7,0)))</f>
        <v/>
      </c>
      <c r="H75" s="19">
        <f>IF(B75="","",$B$10+$B$7*(ROUND(($B$5-$B$12)/$B$6,0)-(ROW()-25)))</f>
        <v/>
      </c>
      <c r="I75" s="18">
        <f>IF(B75="","",IF((ROUND(($B$5-$B$12)/$B$6,0)-(ROW()-25))&gt;=0,($B$10*$B$5+$B$7*(ROUND(($B$5-$B$12)/$B$6,0)-(ROW()-25))*($B$5-$B$6*((ROUND(($B$5-$B$12)/$B$6,0)-(ROW()-25))+1)/2))/($B$10+$B$7*(ROUND(($B$5-$B$12)/$B$6,0)-(ROW()-25))),$B$5))</f>
        <v/>
      </c>
      <c r="J75" s="20">
        <f>IF(B75="","",H75*B75)</f>
        <v/>
      </c>
      <c r="K75" s="20">
        <f>IF(B75="","",IF(C75="CURRENT","N/A",$B$6*$B$7))</f>
        <v/>
      </c>
      <c r="L75" s="20">
        <f>IF(B75="","",IF(C75="CURRENT","N/A",2*MAX($B$8,E75*$B$9)))</f>
        <v/>
      </c>
      <c r="M75" s="20">
        <f>IF(B75="","",IF(C75="CURRENT","N/A",K75-L75))</f>
        <v/>
      </c>
      <c r="N75" s="20">
        <f>IF(B75="","",N74+IF(ISNUMBER(M75),M75,0))</f>
        <v/>
      </c>
    </row>
    <row r="76" ht="17" customHeight="1">
      <c r="A76" s="17">
        <f>IF(B76="","",ROW()-24)</f>
        <v/>
      </c>
      <c r="B76" s="18">
        <f>IF(ROUND($B$12+(ROW()-25)*$B$6,4)&lt;=$B$11,ROUND($B$12+(ROW()-25)*$B$6,4),"")</f>
        <v/>
      </c>
      <c r="C76" s="17">
        <f>IF(B76="","",IF(ROUND(B76,4)&lt;ROUND($B$5,4),"BUY",IF(ROUND(B76,4)&gt;ROUND($B$5,4),"SELL","CURRENT")))</f>
        <v/>
      </c>
      <c r="D76" s="19">
        <f>IF(B76="","",$B$7)</f>
        <v/>
      </c>
      <c r="E76" s="20">
        <f>IF(B76="","",B76*$B$7)</f>
        <v/>
      </c>
      <c r="F76" s="20">
        <f>IF(B76="","",MAX($B$8,E76*$B$9))</f>
        <v/>
      </c>
      <c r="G76" s="21">
        <f>IF(B76="","",IF(C76="BUY",$B$7,IF(C76="SELL",-$B$7,0)))</f>
        <v/>
      </c>
      <c r="H76" s="19">
        <f>IF(B76="","",$B$10+$B$7*(ROUND(($B$5-$B$12)/$B$6,0)-(ROW()-25)))</f>
        <v/>
      </c>
      <c r="I76" s="18">
        <f>IF(B76="","",IF((ROUND(($B$5-$B$12)/$B$6,0)-(ROW()-25))&gt;=0,($B$10*$B$5+$B$7*(ROUND(($B$5-$B$12)/$B$6,0)-(ROW()-25))*($B$5-$B$6*((ROUND(($B$5-$B$12)/$B$6,0)-(ROW()-25))+1)/2))/($B$10+$B$7*(ROUND(($B$5-$B$12)/$B$6,0)-(ROW()-25))),$B$5))</f>
        <v/>
      </c>
      <c r="J76" s="20">
        <f>IF(B76="","",H76*B76)</f>
        <v/>
      </c>
      <c r="K76" s="20">
        <f>IF(B76="","",IF(C76="CURRENT","N/A",$B$6*$B$7))</f>
        <v/>
      </c>
      <c r="L76" s="20">
        <f>IF(B76="","",IF(C76="CURRENT","N/A",2*MAX($B$8,E76*$B$9)))</f>
        <v/>
      </c>
      <c r="M76" s="20">
        <f>IF(B76="","",IF(C76="CURRENT","N/A",K76-L76))</f>
        <v/>
      </c>
      <c r="N76" s="20">
        <f>IF(B76="","",N75+IF(ISNUMBER(M76),M76,0))</f>
        <v/>
      </c>
    </row>
    <row r="77" ht="17" customHeight="1">
      <c r="A77" s="17">
        <f>IF(B77="","",ROW()-24)</f>
        <v/>
      </c>
      <c r="B77" s="18">
        <f>IF(ROUND($B$12+(ROW()-25)*$B$6,4)&lt;=$B$11,ROUND($B$12+(ROW()-25)*$B$6,4),"")</f>
        <v/>
      </c>
      <c r="C77" s="17">
        <f>IF(B77="","",IF(ROUND(B77,4)&lt;ROUND($B$5,4),"BUY",IF(ROUND(B77,4)&gt;ROUND($B$5,4),"SELL","CURRENT")))</f>
        <v/>
      </c>
      <c r="D77" s="19">
        <f>IF(B77="","",$B$7)</f>
        <v/>
      </c>
      <c r="E77" s="20">
        <f>IF(B77="","",B77*$B$7)</f>
        <v/>
      </c>
      <c r="F77" s="20">
        <f>IF(B77="","",MAX($B$8,E77*$B$9))</f>
        <v/>
      </c>
      <c r="G77" s="21">
        <f>IF(B77="","",IF(C77="BUY",$B$7,IF(C77="SELL",-$B$7,0)))</f>
        <v/>
      </c>
      <c r="H77" s="19">
        <f>IF(B77="","",$B$10+$B$7*(ROUND(($B$5-$B$12)/$B$6,0)-(ROW()-25)))</f>
        <v/>
      </c>
      <c r="I77" s="18">
        <f>IF(B77="","",IF((ROUND(($B$5-$B$12)/$B$6,0)-(ROW()-25))&gt;=0,($B$10*$B$5+$B$7*(ROUND(($B$5-$B$12)/$B$6,0)-(ROW()-25))*($B$5-$B$6*((ROUND(($B$5-$B$12)/$B$6,0)-(ROW()-25))+1)/2))/($B$10+$B$7*(ROUND(($B$5-$B$12)/$B$6,0)-(ROW()-25))),$B$5))</f>
        <v/>
      </c>
      <c r="J77" s="20">
        <f>IF(B77="","",H77*B77)</f>
        <v/>
      </c>
      <c r="K77" s="20">
        <f>IF(B77="","",IF(C77="CURRENT","N/A",$B$6*$B$7))</f>
        <v/>
      </c>
      <c r="L77" s="20">
        <f>IF(B77="","",IF(C77="CURRENT","N/A",2*MAX($B$8,E77*$B$9)))</f>
        <v/>
      </c>
      <c r="M77" s="20">
        <f>IF(B77="","",IF(C77="CURRENT","N/A",K77-L77))</f>
        <v/>
      </c>
      <c r="N77" s="20">
        <f>IF(B77="","",N76+IF(ISNUMBER(M77),M77,0))</f>
        <v/>
      </c>
    </row>
    <row r="78" ht="17" customHeight="1">
      <c r="A78" s="17">
        <f>IF(B78="","",ROW()-24)</f>
        <v/>
      </c>
      <c r="B78" s="18">
        <f>IF(ROUND($B$12+(ROW()-25)*$B$6,4)&lt;=$B$11,ROUND($B$12+(ROW()-25)*$B$6,4),"")</f>
        <v/>
      </c>
      <c r="C78" s="17">
        <f>IF(B78="","",IF(ROUND(B78,4)&lt;ROUND($B$5,4),"BUY",IF(ROUND(B78,4)&gt;ROUND($B$5,4),"SELL","CURRENT")))</f>
        <v/>
      </c>
      <c r="D78" s="19">
        <f>IF(B78="","",$B$7)</f>
        <v/>
      </c>
      <c r="E78" s="20">
        <f>IF(B78="","",B78*$B$7)</f>
        <v/>
      </c>
      <c r="F78" s="20">
        <f>IF(B78="","",MAX($B$8,E78*$B$9))</f>
        <v/>
      </c>
      <c r="G78" s="21">
        <f>IF(B78="","",IF(C78="BUY",$B$7,IF(C78="SELL",-$B$7,0)))</f>
        <v/>
      </c>
      <c r="H78" s="19">
        <f>IF(B78="","",$B$10+$B$7*(ROUND(($B$5-$B$12)/$B$6,0)-(ROW()-25)))</f>
        <v/>
      </c>
      <c r="I78" s="18">
        <f>IF(B78="","",IF((ROUND(($B$5-$B$12)/$B$6,0)-(ROW()-25))&gt;=0,($B$10*$B$5+$B$7*(ROUND(($B$5-$B$12)/$B$6,0)-(ROW()-25))*($B$5-$B$6*((ROUND(($B$5-$B$12)/$B$6,0)-(ROW()-25))+1)/2))/($B$10+$B$7*(ROUND(($B$5-$B$12)/$B$6,0)-(ROW()-25))),$B$5))</f>
        <v/>
      </c>
      <c r="J78" s="20">
        <f>IF(B78="","",H78*B78)</f>
        <v/>
      </c>
      <c r="K78" s="20">
        <f>IF(B78="","",IF(C78="CURRENT","N/A",$B$6*$B$7))</f>
        <v/>
      </c>
      <c r="L78" s="20">
        <f>IF(B78="","",IF(C78="CURRENT","N/A",2*MAX($B$8,E78*$B$9)))</f>
        <v/>
      </c>
      <c r="M78" s="20">
        <f>IF(B78="","",IF(C78="CURRENT","N/A",K78-L78))</f>
        <v/>
      </c>
      <c r="N78" s="20">
        <f>IF(B78="","",N77+IF(ISNUMBER(M78),M78,0))</f>
        <v/>
      </c>
    </row>
    <row r="79" ht="17" customHeight="1">
      <c r="A79" s="17">
        <f>IF(B79="","",ROW()-24)</f>
        <v/>
      </c>
      <c r="B79" s="18">
        <f>IF(ROUND($B$12+(ROW()-25)*$B$6,4)&lt;=$B$11,ROUND($B$12+(ROW()-25)*$B$6,4),"")</f>
        <v/>
      </c>
      <c r="C79" s="17">
        <f>IF(B79="","",IF(ROUND(B79,4)&lt;ROUND($B$5,4),"BUY",IF(ROUND(B79,4)&gt;ROUND($B$5,4),"SELL","CURRENT")))</f>
        <v/>
      </c>
      <c r="D79" s="19">
        <f>IF(B79="","",$B$7)</f>
        <v/>
      </c>
      <c r="E79" s="20">
        <f>IF(B79="","",B79*$B$7)</f>
        <v/>
      </c>
      <c r="F79" s="20">
        <f>IF(B79="","",MAX($B$8,E79*$B$9))</f>
        <v/>
      </c>
      <c r="G79" s="21">
        <f>IF(B79="","",IF(C79="BUY",$B$7,IF(C79="SELL",-$B$7,0)))</f>
        <v/>
      </c>
      <c r="H79" s="19">
        <f>IF(B79="","",$B$10+$B$7*(ROUND(($B$5-$B$12)/$B$6,0)-(ROW()-25)))</f>
        <v/>
      </c>
      <c r="I79" s="18">
        <f>IF(B79="","",IF((ROUND(($B$5-$B$12)/$B$6,0)-(ROW()-25))&gt;=0,($B$10*$B$5+$B$7*(ROUND(($B$5-$B$12)/$B$6,0)-(ROW()-25))*($B$5-$B$6*((ROUND(($B$5-$B$12)/$B$6,0)-(ROW()-25))+1)/2))/($B$10+$B$7*(ROUND(($B$5-$B$12)/$B$6,0)-(ROW()-25))),$B$5))</f>
        <v/>
      </c>
      <c r="J79" s="20">
        <f>IF(B79="","",H79*B79)</f>
        <v/>
      </c>
      <c r="K79" s="20">
        <f>IF(B79="","",IF(C79="CURRENT","N/A",$B$6*$B$7))</f>
        <v/>
      </c>
      <c r="L79" s="20">
        <f>IF(B79="","",IF(C79="CURRENT","N/A",2*MAX($B$8,E79*$B$9)))</f>
        <v/>
      </c>
      <c r="M79" s="20">
        <f>IF(B79="","",IF(C79="CURRENT","N/A",K79-L79))</f>
        <v/>
      </c>
      <c r="N79" s="20">
        <f>IF(B79="","",N78+IF(ISNUMBER(M79),M79,0))</f>
        <v/>
      </c>
    </row>
    <row r="80" ht="17" customHeight="1">
      <c r="A80" s="17">
        <f>IF(B80="","",ROW()-24)</f>
        <v/>
      </c>
      <c r="B80" s="18">
        <f>IF(ROUND($B$12+(ROW()-25)*$B$6,4)&lt;=$B$11,ROUND($B$12+(ROW()-25)*$B$6,4),"")</f>
        <v/>
      </c>
      <c r="C80" s="17">
        <f>IF(B80="","",IF(ROUND(B80,4)&lt;ROUND($B$5,4),"BUY",IF(ROUND(B80,4)&gt;ROUND($B$5,4),"SELL","CURRENT")))</f>
        <v/>
      </c>
      <c r="D80" s="19">
        <f>IF(B80="","",$B$7)</f>
        <v/>
      </c>
      <c r="E80" s="20">
        <f>IF(B80="","",B80*$B$7)</f>
        <v/>
      </c>
      <c r="F80" s="20">
        <f>IF(B80="","",MAX($B$8,E80*$B$9))</f>
        <v/>
      </c>
      <c r="G80" s="21">
        <f>IF(B80="","",IF(C80="BUY",$B$7,IF(C80="SELL",-$B$7,0)))</f>
        <v/>
      </c>
      <c r="H80" s="19">
        <f>IF(B80="","",$B$10+$B$7*(ROUND(($B$5-$B$12)/$B$6,0)-(ROW()-25)))</f>
        <v/>
      </c>
      <c r="I80" s="18">
        <f>IF(B80="","",IF((ROUND(($B$5-$B$12)/$B$6,0)-(ROW()-25))&gt;=0,($B$10*$B$5+$B$7*(ROUND(($B$5-$B$12)/$B$6,0)-(ROW()-25))*($B$5-$B$6*((ROUND(($B$5-$B$12)/$B$6,0)-(ROW()-25))+1)/2))/($B$10+$B$7*(ROUND(($B$5-$B$12)/$B$6,0)-(ROW()-25))),$B$5))</f>
        <v/>
      </c>
      <c r="J80" s="20">
        <f>IF(B80="","",H80*B80)</f>
        <v/>
      </c>
      <c r="K80" s="20">
        <f>IF(B80="","",IF(C80="CURRENT","N/A",$B$6*$B$7))</f>
        <v/>
      </c>
      <c r="L80" s="20">
        <f>IF(B80="","",IF(C80="CURRENT","N/A",2*MAX($B$8,E80*$B$9)))</f>
        <v/>
      </c>
      <c r="M80" s="20">
        <f>IF(B80="","",IF(C80="CURRENT","N/A",K80-L80))</f>
        <v/>
      </c>
      <c r="N80" s="20">
        <f>IF(B80="","",N79+IF(ISNUMBER(M80),M80,0))</f>
        <v/>
      </c>
    </row>
    <row r="81" ht="17" customHeight="1">
      <c r="A81" s="17">
        <f>IF(B81="","",ROW()-24)</f>
        <v/>
      </c>
      <c r="B81" s="18">
        <f>IF(ROUND($B$12+(ROW()-25)*$B$6,4)&lt;=$B$11,ROUND($B$12+(ROW()-25)*$B$6,4),"")</f>
        <v/>
      </c>
      <c r="C81" s="17">
        <f>IF(B81="","",IF(ROUND(B81,4)&lt;ROUND($B$5,4),"BUY",IF(ROUND(B81,4)&gt;ROUND($B$5,4),"SELL","CURRENT")))</f>
        <v/>
      </c>
      <c r="D81" s="19">
        <f>IF(B81="","",$B$7)</f>
        <v/>
      </c>
      <c r="E81" s="20">
        <f>IF(B81="","",B81*$B$7)</f>
        <v/>
      </c>
      <c r="F81" s="20">
        <f>IF(B81="","",MAX($B$8,E81*$B$9))</f>
        <v/>
      </c>
      <c r="G81" s="21">
        <f>IF(B81="","",IF(C81="BUY",$B$7,IF(C81="SELL",-$B$7,0)))</f>
        <v/>
      </c>
      <c r="H81" s="19">
        <f>IF(B81="","",$B$10+$B$7*(ROUND(($B$5-$B$12)/$B$6,0)-(ROW()-25)))</f>
        <v/>
      </c>
      <c r="I81" s="18">
        <f>IF(B81="","",IF((ROUND(($B$5-$B$12)/$B$6,0)-(ROW()-25))&gt;=0,($B$10*$B$5+$B$7*(ROUND(($B$5-$B$12)/$B$6,0)-(ROW()-25))*($B$5-$B$6*((ROUND(($B$5-$B$12)/$B$6,0)-(ROW()-25))+1)/2))/($B$10+$B$7*(ROUND(($B$5-$B$12)/$B$6,0)-(ROW()-25))),$B$5))</f>
        <v/>
      </c>
      <c r="J81" s="20">
        <f>IF(B81="","",H81*B81)</f>
        <v/>
      </c>
      <c r="K81" s="20">
        <f>IF(B81="","",IF(C81="CURRENT","N/A",$B$6*$B$7))</f>
        <v/>
      </c>
      <c r="L81" s="20">
        <f>IF(B81="","",IF(C81="CURRENT","N/A",2*MAX($B$8,E81*$B$9)))</f>
        <v/>
      </c>
      <c r="M81" s="20">
        <f>IF(B81="","",IF(C81="CURRENT","N/A",K81-L81))</f>
        <v/>
      </c>
      <c r="N81" s="20">
        <f>IF(B81="","",N80+IF(ISNUMBER(M81),M81,0))</f>
        <v/>
      </c>
    </row>
    <row r="82" ht="17" customHeight="1">
      <c r="A82" s="17">
        <f>IF(B82="","",ROW()-24)</f>
        <v/>
      </c>
      <c r="B82" s="18">
        <f>IF(ROUND($B$12+(ROW()-25)*$B$6,4)&lt;=$B$11,ROUND($B$12+(ROW()-25)*$B$6,4),"")</f>
        <v/>
      </c>
      <c r="C82" s="17">
        <f>IF(B82="","",IF(ROUND(B82,4)&lt;ROUND($B$5,4),"BUY",IF(ROUND(B82,4)&gt;ROUND($B$5,4),"SELL","CURRENT")))</f>
        <v/>
      </c>
      <c r="D82" s="19">
        <f>IF(B82="","",$B$7)</f>
        <v/>
      </c>
      <c r="E82" s="20">
        <f>IF(B82="","",B82*$B$7)</f>
        <v/>
      </c>
      <c r="F82" s="20">
        <f>IF(B82="","",MAX($B$8,E82*$B$9))</f>
        <v/>
      </c>
      <c r="G82" s="21">
        <f>IF(B82="","",IF(C82="BUY",$B$7,IF(C82="SELL",-$B$7,0)))</f>
        <v/>
      </c>
      <c r="H82" s="19">
        <f>IF(B82="","",$B$10+$B$7*(ROUND(($B$5-$B$12)/$B$6,0)-(ROW()-25)))</f>
        <v/>
      </c>
      <c r="I82" s="18">
        <f>IF(B82="","",IF((ROUND(($B$5-$B$12)/$B$6,0)-(ROW()-25))&gt;=0,($B$10*$B$5+$B$7*(ROUND(($B$5-$B$12)/$B$6,0)-(ROW()-25))*($B$5-$B$6*((ROUND(($B$5-$B$12)/$B$6,0)-(ROW()-25))+1)/2))/($B$10+$B$7*(ROUND(($B$5-$B$12)/$B$6,0)-(ROW()-25))),$B$5))</f>
        <v/>
      </c>
      <c r="J82" s="20">
        <f>IF(B82="","",H82*B82)</f>
        <v/>
      </c>
      <c r="K82" s="20">
        <f>IF(B82="","",IF(C82="CURRENT","N/A",$B$6*$B$7))</f>
        <v/>
      </c>
      <c r="L82" s="20">
        <f>IF(B82="","",IF(C82="CURRENT","N/A",2*MAX($B$8,E82*$B$9)))</f>
        <v/>
      </c>
      <c r="M82" s="20">
        <f>IF(B82="","",IF(C82="CURRENT","N/A",K82-L82))</f>
        <v/>
      </c>
      <c r="N82" s="20">
        <f>IF(B82="","",N81+IF(ISNUMBER(M82),M82,0))</f>
        <v/>
      </c>
    </row>
    <row r="83" ht="17" customHeight="1">
      <c r="A83" s="17">
        <f>IF(B83="","",ROW()-24)</f>
        <v/>
      </c>
      <c r="B83" s="18">
        <f>IF(ROUND($B$12+(ROW()-25)*$B$6,4)&lt;=$B$11,ROUND($B$12+(ROW()-25)*$B$6,4),"")</f>
        <v/>
      </c>
      <c r="C83" s="17">
        <f>IF(B83="","",IF(ROUND(B83,4)&lt;ROUND($B$5,4),"BUY",IF(ROUND(B83,4)&gt;ROUND($B$5,4),"SELL","CURRENT")))</f>
        <v/>
      </c>
      <c r="D83" s="19">
        <f>IF(B83="","",$B$7)</f>
        <v/>
      </c>
      <c r="E83" s="20">
        <f>IF(B83="","",B83*$B$7)</f>
        <v/>
      </c>
      <c r="F83" s="20">
        <f>IF(B83="","",MAX($B$8,E83*$B$9))</f>
        <v/>
      </c>
      <c r="G83" s="21">
        <f>IF(B83="","",IF(C83="BUY",$B$7,IF(C83="SELL",-$B$7,0)))</f>
        <v/>
      </c>
      <c r="H83" s="19">
        <f>IF(B83="","",$B$10+$B$7*(ROUND(($B$5-$B$12)/$B$6,0)-(ROW()-25)))</f>
        <v/>
      </c>
      <c r="I83" s="18">
        <f>IF(B83="","",IF((ROUND(($B$5-$B$12)/$B$6,0)-(ROW()-25))&gt;=0,($B$10*$B$5+$B$7*(ROUND(($B$5-$B$12)/$B$6,0)-(ROW()-25))*($B$5-$B$6*((ROUND(($B$5-$B$12)/$B$6,0)-(ROW()-25))+1)/2))/($B$10+$B$7*(ROUND(($B$5-$B$12)/$B$6,0)-(ROW()-25))),$B$5))</f>
        <v/>
      </c>
      <c r="J83" s="20">
        <f>IF(B83="","",H83*B83)</f>
        <v/>
      </c>
      <c r="K83" s="20">
        <f>IF(B83="","",IF(C83="CURRENT","N/A",$B$6*$B$7))</f>
        <v/>
      </c>
      <c r="L83" s="20">
        <f>IF(B83="","",IF(C83="CURRENT","N/A",2*MAX($B$8,E83*$B$9)))</f>
        <v/>
      </c>
      <c r="M83" s="20">
        <f>IF(B83="","",IF(C83="CURRENT","N/A",K83-L83))</f>
        <v/>
      </c>
      <c r="N83" s="20">
        <f>IF(B83="","",N82+IF(ISNUMBER(M83),M83,0))</f>
        <v/>
      </c>
    </row>
    <row r="84" ht="17" customHeight="1">
      <c r="A84" s="17">
        <f>IF(B84="","",ROW()-24)</f>
        <v/>
      </c>
      <c r="B84" s="18">
        <f>IF(ROUND($B$12+(ROW()-25)*$B$6,4)&lt;=$B$11,ROUND($B$12+(ROW()-25)*$B$6,4),"")</f>
        <v/>
      </c>
      <c r="C84" s="17">
        <f>IF(B84="","",IF(ROUND(B84,4)&lt;ROUND($B$5,4),"BUY",IF(ROUND(B84,4)&gt;ROUND($B$5,4),"SELL","CURRENT")))</f>
        <v/>
      </c>
      <c r="D84" s="19">
        <f>IF(B84="","",$B$7)</f>
        <v/>
      </c>
      <c r="E84" s="20">
        <f>IF(B84="","",B84*$B$7)</f>
        <v/>
      </c>
      <c r="F84" s="20">
        <f>IF(B84="","",MAX($B$8,E84*$B$9))</f>
        <v/>
      </c>
      <c r="G84" s="21">
        <f>IF(B84="","",IF(C84="BUY",$B$7,IF(C84="SELL",-$B$7,0)))</f>
        <v/>
      </c>
      <c r="H84" s="19">
        <f>IF(B84="","",$B$10+$B$7*(ROUND(($B$5-$B$12)/$B$6,0)-(ROW()-25)))</f>
        <v/>
      </c>
      <c r="I84" s="18">
        <f>IF(B84="","",IF((ROUND(($B$5-$B$12)/$B$6,0)-(ROW()-25))&gt;=0,($B$10*$B$5+$B$7*(ROUND(($B$5-$B$12)/$B$6,0)-(ROW()-25))*($B$5-$B$6*((ROUND(($B$5-$B$12)/$B$6,0)-(ROW()-25))+1)/2))/($B$10+$B$7*(ROUND(($B$5-$B$12)/$B$6,0)-(ROW()-25))),$B$5))</f>
        <v/>
      </c>
      <c r="J84" s="20">
        <f>IF(B84="","",H84*B84)</f>
        <v/>
      </c>
      <c r="K84" s="20">
        <f>IF(B84="","",IF(C84="CURRENT","N/A",$B$6*$B$7))</f>
        <v/>
      </c>
      <c r="L84" s="20">
        <f>IF(B84="","",IF(C84="CURRENT","N/A",2*MAX($B$8,E84*$B$9)))</f>
        <v/>
      </c>
      <c r="M84" s="20">
        <f>IF(B84="","",IF(C84="CURRENT","N/A",K84-L84))</f>
        <v/>
      </c>
      <c r="N84" s="20">
        <f>IF(B84="","",N83+IF(ISNUMBER(M84),M84,0))</f>
        <v/>
      </c>
    </row>
    <row r="85" ht="17" customHeight="1">
      <c r="A85" s="17">
        <f>IF(B85="","",ROW()-24)</f>
        <v/>
      </c>
      <c r="B85" s="18">
        <f>IF(ROUND($B$12+(ROW()-25)*$B$6,4)&lt;=$B$11,ROUND($B$12+(ROW()-25)*$B$6,4),"")</f>
        <v/>
      </c>
      <c r="C85" s="17">
        <f>IF(B85="","",IF(ROUND(B85,4)&lt;ROUND($B$5,4),"BUY",IF(ROUND(B85,4)&gt;ROUND($B$5,4),"SELL","CURRENT")))</f>
        <v/>
      </c>
      <c r="D85" s="19">
        <f>IF(B85="","",$B$7)</f>
        <v/>
      </c>
      <c r="E85" s="20">
        <f>IF(B85="","",B85*$B$7)</f>
        <v/>
      </c>
      <c r="F85" s="20">
        <f>IF(B85="","",MAX($B$8,E85*$B$9))</f>
        <v/>
      </c>
      <c r="G85" s="21">
        <f>IF(B85="","",IF(C85="BUY",$B$7,IF(C85="SELL",-$B$7,0)))</f>
        <v/>
      </c>
      <c r="H85" s="19">
        <f>IF(B85="","",$B$10+$B$7*(ROUND(($B$5-$B$12)/$B$6,0)-(ROW()-25)))</f>
        <v/>
      </c>
      <c r="I85" s="18">
        <f>IF(B85="","",IF((ROUND(($B$5-$B$12)/$B$6,0)-(ROW()-25))&gt;=0,($B$10*$B$5+$B$7*(ROUND(($B$5-$B$12)/$B$6,0)-(ROW()-25))*($B$5-$B$6*((ROUND(($B$5-$B$12)/$B$6,0)-(ROW()-25))+1)/2))/($B$10+$B$7*(ROUND(($B$5-$B$12)/$B$6,0)-(ROW()-25))),$B$5))</f>
        <v/>
      </c>
      <c r="J85" s="20">
        <f>IF(B85="","",H85*B85)</f>
        <v/>
      </c>
      <c r="K85" s="20">
        <f>IF(B85="","",IF(C85="CURRENT","N/A",$B$6*$B$7))</f>
        <v/>
      </c>
      <c r="L85" s="20">
        <f>IF(B85="","",IF(C85="CURRENT","N/A",2*MAX($B$8,E85*$B$9)))</f>
        <v/>
      </c>
      <c r="M85" s="20">
        <f>IF(B85="","",IF(C85="CURRENT","N/A",K85-L85))</f>
        <v/>
      </c>
      <c r="N85" s="20">
        <f>IF(B85="","",N84+IF(ISNUMBER(M85),M85,0))</f>
        <v/>
      </c>
    </row>
    <row r="86" ht="17" customHeight="1">
      <c r="A86" s="17">
        <f>IF(B86="","",ROW()-24)</f>
        <v/>
      </c>
      <c r="B86" s="18">
        <f>IF(ROUND($B$12+(ROW()-25)*$B$6,4)&lt;=$B$11,ROUND($B$12+(ROW()-25)*$B$6,4),"")</f>
        <v/>
      </c>
      <c r="C86" s="17">
        <f>IF(B86="","",IF(ROUND(B86,4)&lt;ROUND($B$5,4),"BUY",IF(ROUND(B86,4)&gt;ROUND($B$5,4),"SELL","CURRENT")))</f>
        <v/>
      </c>
      <c r="D86" s="19">
        <f>IF(B86="","",$B$7)</f>
        <v/>
      </c>
      <c r="E86" s="20">
        <f>IF(B86="","",B86*$B$7)</f>
        <v/>
      </c>
      <c r="F86" s="20">
        <f>IF(B86="","",MAX($B$8,E86*$B$9))</f>
        <v/>
      </c>
      <c r="G86" s="21">
        <f>IF(B86="","",IF(C86="BUY",$B$7,IF(C86="SELL",-$B$7,0)))</f>
        <v/>
      </c>
      <c r="H86" s="19">
        <f>IF(B86="","",$B$10+$B$7*(ROUND(($B$5-$B$12)/$B$6,0)-(ROW()-25)))</f>
        <v/>
      </c>
      <c r="I86" s="18">
        <f>IF(B86="","",IF((ROUND(($B$5-$B$12)/$B$6,0)-(ROW()-25))&gt;=0,($B$10*$B$5+$B$7*(ROUND(($B$5-$B$12)/$B$6,0)-(ROW()-25))*($B$5-$B$6*((ROUND(($B$5-$B$12)/$B$6,0)-(ROW()-25))+1)/2))/($B$10+$B$7*(ROUND(($B$5-$B$12)/$B$6,0)-(ROW()-25))),$B$5))</f>
        <v/>
      </c>
      <c r="J86" s="20">
        <f>IF(B86="","",H86*B86)</f>
        <v/>
      </c>
      <c r="K86" s="20">
        <f>IF(B86="","",IF(C86="CURRENT","N/A",$B$6*$B$7))</f>
        <v/>
      </c>
      <c r="L86" s="20">
        <f>IF(B86="","",IF(C86="CURRENT","N/A",2*MAX($B$8,E86*$B$9)))</f>
        <v/>
      </c>
      <c r="M86" s="20">
        <f>IF(B86="","",IF(C86="CURRENT","N/A",K86-L86))</f>
        <v/>
      </c>
      <c r="N86" s="20">
        <f>IF(B86="","",N85+IF(ISNUMBER(M86),M86,0))</f>
        <v/>
      </c>
    </row>
    <row r="87" ht="17" customHeight="1">
      <c r="A87" s="17">
        <f>IF(B87="","",ROW()-24)</f>
        <v/>
      </c>
      <c r="B87" s="18">
        <f>IF(ROUND($B$12+(ROW()-25)*$B$6,4)&lt;=$B$11,ROUND($B$12+(ROW()-25)*$B$6,4),"")</f>
        <v/>
      </c>
      <c r="C87" s="17">
        <f>IF(B87="","",IF(ROUND(B87,4)&lt;ROUND($B$5,4),"BUY",IF(ROUND(B87,4)&gt;ROUND($B$5,4),"SELL","CURRENT")))</f>
        <v/>
      </c>
      <c r="D87" s="19">
        <f>IF(B87="","",$B$7)</f>
        <v/>
      </c>
      <c r="E87" s="20">
        <f>IF(B87="","",B87*$B$7)</f>
        <v/>
      </c>
      <c r="F87" s="20">
        <f>IF(B87="","",MAX($B$8,E87*$B$9))</f>
        <v/>
      </c>
      <c r="G87" s="21">
        <f>IF(B87="","",IF(C87="BUY",$B$7,IF(C87="SELL",-$B$7,0)))</f>
        <v/>
      </c>
      <c r="H87" s="19">
        <f>IF(B87="","",$B$10+$B$7*(ROUND(($B$5-$B$12)/$B$6,0)-(ROW()-25)))</f>
        <v/>
      </c>
      <c r="I87" s="18">
        <f>IF(B87="","",IF((ROUND(($B$5-$B$12)/$B$6,0)-(ROW()-25))&gt;=0,($B$10*$B$5+$B$7*(ROUND(($B$5-$B$12)/$B$6,0)-(ROW()-25))*($B$5-$B$6*((ROUND(($B$5-$B$12)/$B$6,0)-(ROW()-25))+1)/2))/($B$10+$B$7*(ROUND(($B$5-$B$12)/$B$6,0)-(ROW()-25))),$B$5))</f>
        <v/>
      </c>
      <c r="J87" s="20">
        <f>IF(B87="","",H87*B87)</f>
        <v/>
      </c>
      <c r="K87" s="20">
        <f>IF(B87="","",IF(C87="CURRENT","N/A",$B$6*$B$7))</f>
        <v/>
      </c>
      <c r="L87" s="20">
        <f>IF(B87="","",IF(C87="CURRENT","N/A",2*MAX($B$8,E87*$B$9)))</f>
        <v/>
      </c>
      <c r="M87" s="20">
        <f>IF(B87="","",IF(C87="CURRENT","N/A",K87-L87))</f>
        <v/>
      </c>
      <c r="N87" s="20">
        <f>IF(B87="","",N86+IF(ISNUMBER(M87),M87,0))</f>
        <v/>
      </c>
    </row>
    <row r="88" ht="17" customHeight="1">
      <c r="A88" s="17">
        <f>IF(B88="","",ROW()-24)</f>
        <v/>
      </c>
      <c r="B88" s="18">
        <f>IF(ROUND($B$12+(ROW()-25)*$B$6,4)&lt;=$B$11,ROUND($B$12+(ROW()-25)*$B$6,4),"")</f>
        <v/>
      </c>
      <c r="C88" s="17">
        <f>IF(B88="","",IF(ROUND(B88,4)&lt;ROUND($B$5,4),"BUY",IF(ROUND(B88,4)&gt;ROUND($B$5,4),"SELL","CURRENT")))</f>
        <v/>
      </c>
      <c r="D88" s="19">
        <f>IF(B88="","",$B$7)</f>
        <v/>
      </c>
      <c r="E88" s="20">
        <f>IF(B88="","",B88*$B$7)</f>
        <v/>
      </c>
      <c r="F88" s="20">
        <f>IF(B88="","",MAX($B$8,E88*$B$9))</f>
        <v/>
      </c>
      <c r="G88" s="21">
        <f>IF(B88="","",IF(C88="BUY",$B$7,IF(C88="SELL",-$B$7,0)))</f>
        <v/>
      </c>
      <c r="H88" s="19">
        <f>IF(B88="","",$B$10+$B$7*(ROUND(($B$5-$B$12)/$B$6,0)-(ROW()-25)))</f>
        <v/>
      </c>
      <c r="I88" s="18">
        <f>IF(B88="","",IF((ROUND(($B$5-$B$12)/$B$6,0)-(ROW()-25))&gt;=0,($B$10*$B$5+$B$7*(ROUND(($B$5-$B$12)/$B$6,0)-(ROW()-25))*($B$5-$B$6*((ROUND(($B$5-$B$12)/$B$6,0)-(ROW()-25))+1)/2))/($B$10+$B$7*(ROUND(($B$5-$B$12)/$B$6,0)-(ROW()-25))),$B$5))</f>
        <v/>
      </c>
      <c r="J88" s="20">
        <f>IF(B88="","",H88*B88)</f>
        <v/>
      </c>
      <c r="K88" s="20">
        <f>IF(B88="","",IF(C88="CURRENT","N/A",$B$6*$B$7))</f>
        <v/>
      </c>
      <c r="L88" s="20">
        <f>IF(B88="","",IF(C88="CURRENT","N/A",2*MAX($B$8,E88*$B$9)))</f>
        <v/>
      </c>
      <c r="M88" s="20">
        <f>IF(B88="","",IF(C88="CURRENT","N/A",K88-L88))</f>
        <v/>
      </c>
      <c r="N88" s="20">
        <f>IF(B88="","",N87+IF(ISNUMBER(M88),M88,0))</f>
        <v/>
      </c>
    </row>
    <row r="89" ht="17" customHeight="1">
      <c r="A89" s="17">
        <f>IF(B89="","",ROW()-24)</f>
        <v/>
      </c>
      <c r="B89" s="18">
        <f>IF(ROUND($B$12+(ROW()-25)*$B$6,4)&lt;=$B$11,ROUND($B$12+(ROW()-25)*$B$6,4),"")</f>
        <v/>
      </c>
      <c r="C89" s="17">
        <f>IF(B89="","",IF(ROUND(B89,4)&lt;ROUND($B$5,4),"BUY",IF(ROUND(B89,4)&gt;ROUND($B$5,4),"SELL","CURRENT")))</f>
        <v/>
      </c>
      <c r="D89" s="19">
        <f>IF(B89="","",$B$7)</f>
        <v/>
      </c>
      <c r="E89" s="20">
        <f>IF(B89="","",B89*$B$7)</f>
        <v/>
      </c>
      <c r="F89" s="20">
        <f>IF(B89="","",MAX($B$8,E89*$B$9))</f>
        <v/>
      </c>
      <c r="G89" s="21">
        <f>IF(B89="","",IF(C89="BUY",$B$7,IF(C89="SELL",-$B$7,0)))</f>
        <v/>
      </c>
      <c r="H89" s="19">
        <f>IF(B89="","",$B$10+$B$7*(ROUND(($B$5-$B$12)/$B$6,0)-(ROW()-25)))</f>
        <v/>
      </c>
      <c r="I89" s="18">
        <f>IF(B89="","",IF((ROUND(($B$5-$B$12)/$B$6,0)-(ROW()-25))&gt;=0,($B$10*$B$5+$B$7*(ROUND(($B$5-$B$12)/$B$6,0)-(ROW()-25))*($B$5-$B$6*((ROUND(($B$5-$B$12)/$B$6,0)-(ROW()-25))+1)/2))/($B$10+$B$7*(ROUND(($B$5-$B$12)/$B$6,0)-(ROW()-25))),$B$5))</f>
        <v/>
      </c>
      <c r="J89" s="20">
        <f>IF(B89="","",H89*B89)</f>
        <v/>
      </c>
      <c r="K89" s="20">
        <f>IF(B89="","",IF(C89="CURRENT","N/A",$B$6*$B$7))</f>
        <v/>
      </c>
      <c r="L89" s="20">
        <f>IF(B89="","",IF(C89="CURRENT","N/A",2*MAX($B$8,E89*$B$9)))</f>
        <v/>
      </c>
      <c r="M89" s="20">
        <f>IF(B89="","",IF(C89="CURRENT","N/A",K89-L89))</f>
        <v/>
      </c>
      <c r="N89" s="20">
        <f>IF(B89="","",N88+IF(ISNUMBER(M89),M89,0))</f>
        <v/>
      </c>
    </row>
    <row r="90" ht="17" customHeight="1">
      <c r="A90" s="17">
        <f>IF(B90="","",ROW()-24)</f>
        <v/>
      </c>
      <c r="B90" s="18">
        <f>IF(ROUND($B$12+(ROW()-25)*$B$6,4)&lt;=$B$11,ROUND($B$12+(ROW()-25)*$B$6,4),"")</f>
        <v/>
      </c>
      <c r="C90" s="17">
        <f>IF(B90="","",IF(ROUND(B90,4)&lt;ROUND($B$5,4),"BUY",IF(ROUND(B90,4)&gt;ROUND($B$5,4),"SELL","CURRENT")))</f>
        <v/>
      </c>
      <c r="D90" s="19">
        <f>IF(B90="","",$B$7)</f>
        <v/>
      </c>
      <c r="E90" s="20">
        <f>IF(B90="","",B90*$B$7)</f>
        <v/>
      </c>
      <c r="F90" s="20">
        <f>IF(B90="","",MAX($B$8,E90*$B$9))</f>
        <v/>
      </c>
      <c r="G90" s="21">
        <f>IF(B90="","",IF(C90="BUY",$B$7,IF(C90="SELL",-$B$7,0)))</f>
        <v/>
      </c>
      <c r="H90" s="19">
        <f>IF(B90="","",$B$10+$B$7*(ROUND(($B$5-$B$12)/$B$6,0)-(ROW()-25)))</f>
        <v/>
      </c>
      <c r="I90" s="18">
        <f>IF(B90="","",IF((ROUND(($B$5-$B$12)/$B$6,0)-(ROW()-25))&gt;=0,($B$10*$B$5+$B$7*(ROUND(($B$5-$B$12)/$B$6,0)-(ROW()-25))*($B$5-$B$6*((ROUND(($B$5-$B$12)/$B$6,0)-(ROW()-25))+1)/2))/($B$10+$B$7*(ROUND(($B$5-$B$12)/$B$6,0)-(ROW()-25))),$B$5))</f>
        <v/>
      </c>
      <c r="J90" s="20">
        <f>IF(B90="","",H90*B90)</f>
        <v/>
      </c>
      <c r="K90" s="20">
        <f>IF(B90="","",IF(C90="CURRENT","N/A",$B$6*$B$7))</f>
        <v/>
      </c>
      <c r="L90" s="20">
        <f>IF(B90="","",IF(C90="CURRENT","N/A",2*MAX($B$8,E90*$B$9)))</f>
        <v/>
      </c>
      <c r="M90" s="20">
        <f>IF(B90="","",IF(C90="CURRENT","N/A",K90-L90))</f>
        <v/>
      </c>
      <c r="N90" s="20">
        <f>IF(B90="","",N89+IF(ISNUMBER(M90),M90,0))</f>
        <v/>
      </c>
    </row>
    <row r="91" ht="17" customHeight="1">
      <c r="A91" s="17">
        <f>IF(B91="","",ROW()-24)</f>
        <v/>
      </c>
      <c r="B91" s="18">
        <f>IF(ROUND($B$12+(ROW()-25)*$B$6,4)&lt;=$B$11,ROUND($B$12+(ROW()-25)*$B$6,4),"")</f>
        <v/>
      </c>
      <c r="C91" s="17">
        <f>IF(B91="","",IF(ROUND(B91,4)&lt;ROUND($B$5,4),"BUY",IF(ROUND(B91,4)&gt;ROUND($B$5,4),"SELL","CURRENT")))</f>
        <v/>
      </c>
      <c r="D91" s="19">
        <f>IF(B91="","",$B$7)</f>
        <v/>
      </c>
      <c r="E91" s="20">
        <f>IF(B91="","",B91*$B$7)</f>
        <v/>
      </c>
      <c r="F91" s="20">
        <f>IF(B91="","",MAX($B$8,E91*$B$9))</f>
        <v/>
      </c>
      <c r="G91" s="21">
        <f>IF(B91="","",IF(C91="BUY",$B$7,IF(C91="SELL",-$B$7,0)))</f>
        <v/>
      </c>
      <c r="H91" s="19">
        <f>IF(B91="","",$B$10+$B$7*(ROUND(($B$5-$B$12)/$B$6,0)-(ROW()-25)))</f>
        <v/>
      </c>
      <c r="I91" s="18">
        <f>IF(B91="","",IF((ROUND(($B$5-$B$12)/$B$6,0)-(ROW()-25))&gt;=0,($B$10*$B$5+$B$7*(ROUND(($B$5-$B$12)/$B$6,0)-(ROW()-25))*($B$5-$B$6*((ROUND(($B$5-$B$12)/$B$6,0)-(ROW()-25))+1)/2))/($B$10+$B$7*(ROUND(($B$5-$B$12)/$B$6,0)-(ROW()-25))),$B$5))</f>
        <v/>
      </c>
      <c r="J91" s="20">
        <f>IF(B91="","",H91*B91)</f>
        <v/>
      </c>
      <c r="K91" s="20">
        <f>IF(B91="","",IF(C91="CURRENT","N/A",$B$6*$B$7))</f>
        <v/>
      </c>
      <c r="L91" s="20">
        <f>IF(B91="","",IF(C91="CURRENT","N/A",2*MAX($B$8,E91*$B$9)))</f>
        <v/>
      </c>
      <c r="M91" s="20">
        <f>IF(B91="","",IF(C91="CURRENT","N/A",K91-L91))</f>
        <v/>
      </c>
      <c r="N91" s="20">
        <f>IF(B91="","",N90+IF(ISNUMBER(M91),M91,0))</f>
        <v/>
      </c>
    </row>
    <row r="92" ht="17" customHeight="1">
      <c r="A92" s="17">
        <f>IF(B92="","",ROW()-24)</f>
        <v/>
      </c>
      <c r="B92" s="18">
        <f>IF(ROUND($B$12+(ROW()-25)*$B$6,4)&lt;=$B$11,ROUND($B$12+(ROW()-25)*$B$6,4),"")</f>
        <v/>
      </c>
      <c r="C92" s="17">
        <f>IF(B92="","",IF(ROUND(B92,4)&lt;ROUND($B$5,4),"BUY",IF(ROUND(B92,4)&gt;ROUND($B$5,4),"SELL","CURRENT")))</f>
        <v/>
      </c>
      <c r="D92" s="19">
        <f>IF(B92="","",$B$7)</f>
        <v/>
      </c>
      <c r="E92" s="20">
        <f>IF(B92="","",B92*$B$7)</f>
        <v/>
      </c>
      <c r="F92" s="20">
        <f>IF(B92="","",MAX($B$8,E92*$B$9))</f>
        <v/>
      </c>
      <c r="G92" s="21">
        <f>IF(B92="","",IF(C92="BUY",$B$7,IF(C92="SELL",-$B$7,0)))</f>
        <v/>
      </c>
      <c r="H92" s="19">
        <f>IF(B92="","",$B$10+$B$7*(ROUND(($B$5-$B$12)/$B$6,0)-(ROW()-25)))</f>
        <v/>
      </c>
      <c r="I92" s="18">
        <f>IF(B92="","",IF((ROUND(($B$5-$B$12)/$B$6,0)-(ROW()-25))&gt;=0,($B$10*$B$5+$B$7*(ROUND(($B$5-$B$12)/$B$6,0)-(ROW()-25))*($B$5-$B$6*((ROUND(($B$5-$B$12)/$B$6,0)-(ROW()-25))+1)/2))/($B$10+$B$7*(ROUND(($B$5-$B$12)/$B$6,0)-(ROW()-25))),$B$5))</f>
        <v/>
      </c>
      <c r="J92" s="20">
        <f>IF(B92="","",H92*B92)</f>
        <v/>
      </c>
      <c r="K92" s="20">
        <f>IF(B92="","",IF(C92="CURRENT","N/A",$B$6*$B$7))</f>
        <v/>
      </c>
      <c r="L92" s="20">
        <f>IF(B92="","",IF(C92="CURRENT","N/A",2*MAX($B$8,E92*$B$9)))</f>
        <v/>
      </c>
      <c r="M92" s="20">
        <f>IF(B92="","",IF(C92="CURRENT","N/A",K92-L92))</f>
        <v/>
      </c>
      <c r="N92" s="20">
        <f>IF(B92="","",N91+IF(ISNUMBER(M92),M92,0))</f>
        <v/>
      </c>
    </row>
    <row r="93" ht="17" customHeight="1">
      <c r="A93" s="17">
        <f>IF(B93="","",ROW()-24)</f>
        <v/>
      </c>
      <c r="B93" s="18">
        <f>IF(ROUND($B$12+(ROW()-25)*$B$6,4)&lt;=$B$11,ROUND($B$12+(ROW()-25)*$B$6,4),"")</f>
        <v/>
      </c>
      <c r="C93" s="17">
        <f>IF(B93="","",IF(ROUND(B93,4)&lt;ROUND($B$5,4),"BUY",IF(ROUND(B93,4)&gt;ROUND($B$5,4),"SELL","CURRENT")))</f>
        <v/>
      </c>
      <c r="D93" s="19">
        <f>IF(B93="","",$B$7)</f>
        <v/>
      </c>
      <c r="E93" s="20">
        <f>IF(B93="","",B93*$B$7)</f>
        <v/>
      </c>
      <c r="F93" s="20">
        <f>IF(B93="","",MAX($B$8,E93*$B$9))</f>
        <v/>
      </c>
      <c r="G93" s="21">
        <f>IF(B93="","",IF(C93="BUY",$B$7,IF(C93="SELL",-$B$7,0)))</f>
        <v/>
      </c>
      <c r="H93" s="19">
        <f>IF(B93="","",$B$10+$B$7*(ROUND(($B$5-$B$12)/$B$6,0)-(ROW()-25)))</f>
        <v/>
      </c>
      <c r="I93" s="18">
        <f>IF(B93="","",IF((ROUND(($B$5-$B$12)/$B$6,0)-(ROW()-25))&gt;=0,($B$10*$B$5+$B$7*(ROUND(($B$5-$B$12)/$B$6,0)-(ROW()-25))*($B$5-$B$6*((ROUND(($B$5-$B$12)/$B$6,0)-(ROW()-25))+1)/2))/($B$10+$B$7*(ROUND(($B$5-$B$12)/$B$6,0)-(ROW()-25))),$B$5))</f>
        <v/>
      </c>
      <c r="J93" s="20">
        <f>IF(B93="","",H93*B93)</f>
        <v/>
      </c>
      <c r="K93" s="20">
        <f>IF(B93="","",IF(C93="CURRENT","N/A",$B$6*$B$7))</f>
        <v/>
      </c>
      <c r="L93" s="20">
        <f>IF(B93="","",IF(C93="CURRENT","N/A",2*MAX($B$8,E93*$B$9)))</f>
        <v/>
      </c>
      <c r="M93" s="20">
        <f>IF(B93="","",IF(C93="CURRENT","N/A",K93-L93))</f>
        <v/>
      </c>
      <c r="N93" s="20">
        <f>IF(B93="","",N92+IF(ISNUMBER(M93),M93,0))</f>
        <v/>
      </c>
    </row>
    <row r="94" ht="17" customHeight="1">
      <c r="A94" s="17">
        <f>IF(B94="","",ROW()-24)</f>
        <v/>
      </c>
      <c r="B94" s="18">
        <f>IF(ROUND($B$12+(ROW()-25)*$B$6,4)&lt;=$B$11,ROUND($B$12+(ROW()-25)*$B$6,4),"")</f>
        <v/>
      </c>
      <c r="C94" s="17">
        <f>IF(B94="","",IF(ROUND(B94,4)&lt;ROUND($B$5,4),"BUY",IF(ROUND(B94,4)&gt;ROUND($B$5,4),"SELL","CURRENT")))</f>
        <v/>
      </c>
      <c r="D94" s="19">
        <f>IF(B94="","",$B$7)</f>
        <v/>
      </c>
      <c r="E94" s="20">
        <f>IF(B94="","",B94*$B$7)</f>
        <v/>
      </c>
      <c r="F94" s="20">
        <f>IF(B94="","",MAX($B$8,E94*$B$9))</f>
        <v/>
      </c>
      <c r="G94" s="21">
        <f>IF(B94="","",IF(C94="BUY",$B$7,IF(C94="SELL",-$B$7,0)))</f>
        <v/>
      </c>
      <c r="H94" s="19">
        <f>IF(B94="","",$B$10+$B$7*(ROUND(($B$5-$B$12)/$B$6,0)-(ROW()-25)))</f>
        <v/>
      </c>
      <c r="I94" s="18">
        <f>IF(B94="","",IF((ROUND(($B$5-$B$12)/$B$6,0)-(ROW()-25))&gt;=0,($B$10*$B$5+$B$7*(ROUND(($B$5-$B$12)/$B$6,0)-(ROW()-25))*($B$5-$B$6*((ROUND(($B$5-$B$12)/$B$6,0)-(ROW()-25))+1)/2))/($B$10+$B$7*(ROUND(($B$5-$B$12)/$B$6,0)-(ROW()-25))),$B$5))</f>
        <v/>
      </c>
      <c r="J94" s="20">
        <f>IF(B94="","",H94*B94)</f>
        <v/>
      </c>
      <c r="K94" s="20">
        <f>IF(B94="","",IF(C94="CURRENT","N/A",$B$6*$B$7))</f>
        <v/>
      </c>
      <c r="L94" s="20">
        <f>IF(B94="","",IF(C94="CURRENT","N/A",2*MAX($B$8,E94*$B$9)))</f>
        <v/>
      </c>
      <c r="M94" s="20">
        <f>IF(B94="","",IF(C94="CURRENT","N/A",K94-L94))</f>
        <v/>
      </c>
      <c r="N94" s="20">
        <f>IF(B94="","",N93+IF(ISNUMBER(M94),M94,0))</f>
        <v/>
      </c>
    </row>
    <row r="95" ht="17" customHeight="1">
      <c r="A95" s="17">
        <f>IF(B95="","",ROW()-24)</f>
        <v/>
      </c>
      <c r="B95" s="18">
        <f>IF(ROUND($B$12+(ROW()-25)*$B$6,4)&lt;=$B$11,ROUND($B$12+(ROW()-25)*$B$6,4),"")</f>
        <v/>
      </c>
      <c r="C95" s="17">
        <f>IF(B95="","",IF(ROUND(B95,4)&lt;ROUND($B$5,4),"BUY",IF(ROUND(B95,4)&gt;ROUND($B$5,4),"SELL","CURRENT")))</f>
        <v/>
      </c>
      <c r="D95" s="19">
        <f>IF(B95="","",$B$7)</f>
        <v/>
      </c>
      <c r="E95" s="20">
        <f>IF(B95="","",B95*$B$7)</f>
        <v/>
      </c>
      <c r="F95" s="20">
        <f>IF(B95="","",MAX($B$8,E95*$B$9))</f>
        <v/>
      </c>
      <c r="G95" s="21">
        <f>IF(B95="","",IF(C95="BUY",$B$7,IF(C95="SELL",-$B$7,0)))</f>
        <v/>
      </c>
      <c r="H95" s="19">
        <f>IF(B95="","",$B$10+$B$7*(ROUND(($B$5-$B$12)/$B$6,0)-(ROW()-25)))</f>
        <v/>
      </c>
      <c r="I95" s="18">
        <f>IF(B95="","",IF((ROUND(($B$5-$B$12)/$B$6,0)-(ROW()-25))&gt;=0,($B$10*$B$5+$B$7*(ROUND(($B$5-$B$12)/$B$6,0)-(ROW()-25))*($B$5-$B$6*((ROUND(($B$5-$B$12)/$B$6,0)-(ROW()-25))+1)/2))/($B$10+$B$7*(ROUND(($B$5-$B$12)/$B$6,0)-(ROW()-25))),$B$5))</f>
        <v/>
      </c>
      <c r="J95" s="20">
        <f>IF(B95="","",H95*B95)</f>
        <v/>
      </c>
      <c r="K95" s="20">
        <f>IF(B95="","",IF(C95="CURRENT","N/A",$B$6*$B$7))</f>
        <v/>
      </c>
      <c r="L95" s="20">
        <f>IF(B95="","",IF(C95="CURRENT","N/A",2*MAX($B$8,E95*$B$9)))</f>
        <v/>
      </c>
      <c r="M95" s="20">
        <f>IF(B95="","",IF(C95="CURRENT","N/A",K95-L95))</f>
        <v/>
      </c>
      <c r="N95" s="20">
        <f>IF(B95="","",N94+IF(ISNUMBER(M95),M95,0))</f>
        <v/>
      </c>
    </row>
    <row r="96" ht="17" customHeight="1">
      <c r="A96" s="17">
        <f>IF(B96="","",ROW()-24)</f>
        <v/>
      </c>
      <c r="B96" s="18">
        <f>IF(ROUND($B$12+(ROW()-25)*$B$6,4)&lt;=$B$11,ROUND($B$12+(ROW()-25)*$B$6,4),"")</f>
        <v/>
      </c>
      <c r="C96" s="17">
        <f>IF(B96="","",IF(ROUND(B96,4)&lt;ROUND($B$5,4),"BUY",IF(ROUND(B96,4)&gt;ROUND($B$5,4),"SELL","CURRENT")))</f>
        <v/>
      </c>
      <c r="D96" s="19">
        <f>IF(B96="","",$B$7)</f>
        <v/>
      </c>
      <c r="E96" s="20">
        <f>IF(B96="","",B96*$B$7)</f>
        <v/>
      </c>
      <c r="F96" s="20">
        <f>IF(B96="","",MAX($B$8,E96*$B$9))</f>
        <v/>
      </c>
      <c r="G96" s="21">
        <f>IF(B96="","",IF(C96="BUY",$B$7,IF(C96="SELL",-$B$7,0)))</f>
        <v/>
      </c>
      <c r="H96" s="19">
        <f>IF(B96="","",$B$10+$B$7*(ROUND(($B$5-$B$12)/$B$6,0)-(ROW()-25)))</f>
        <v/>
      </c>
      <c r="I96" s="18">
        <f>IF(B96="","",IF((ROUND(($B$5-$B$12)/$B$6,0)-(ROW()-25))&gt;=0,($B$10*$B$5+$B$7*(ROUND(($B$5-$B$12)/$B$6,0)-(ROW()-25))*($B$5-$B$6*((ROUND(($B$5-$B$12)/$B$6,0)-(ROW()-25))+1)/2))/($B$10+$B$7*(ROUND(($B$5-$B$12)/$B$6,0)-(ROW()-25))),$B$5))</f>
        <v/>
      </c>
      <c r="J96" s="20">
        <f>IF(B96="","",H96*B96)</f>
        <v/>
      </c>
      <c r="K96" s="20">
        <f>IF(B96="","",IF(C96="CURRENT","N/A",$B$6*$B$7))</f>
        <v/>
      </c>
      <c r="L96" s="20">
        <f>IF(B96="","",IF(C96="CURRENT","N/A",2*MAX($B$8,E96*$B$9)))</f>
        <v/>
      </c>
      <c r="M96" s="20">
        <f>IF(B96="","",IF(C96="CURRENT","N/A",K96-L96))</f>
        <v/>
      </c>
      <c r="N96" s="20">
        <f>IF(B96="","",N95+IF(ISNUMBER(M96),M96,0))</f>
        <v/>
      </c>
    </row>
    <row r="97" ht="17" customHeight="1">
      <c r="A97" s="17">
        <f>IF(B97="","",ROW()-24)</f>
        <v/>
      </c>
      <c r="B97" s="18">
        <f>IF(ROUND($B$12+(ROW()-25)*$B$6,4)&lt;=$B$11,ROUND($B$12+(ROW()-25)*$B$6,4),"")</f>
        <v/>
      </c>
      <c r="C97" s="17">
        <f>IF(B97="","",IF(ROUND(B97,4)&lt;ROUND($B$5,4),"BUY",IF(ROUND(B97,4)&gt;ROUND($B$5,4),"SELL","CURRENT")))</f>
        <v/>
      </c>
      <c r="D97" s="19">
        <f>IF(B97="","",$B$7)</f>
        <v/>
      </c>
      <c r="E97" s="20">
        <f>IF(B97="","",B97*$B$7)</f>
        <v/>
      </c>
      <c r="F97" s="20">
        <f>IF(B97="","",MAX($B$8,E97*$B$9))</f>
        <v/>
      </c>
      <c r="G97" s="21">
        <f>IF(B97="","",IF(C97="BUY",$B$7,IF(C97="SELL",-$B$7,0)))</f>
        <v/>
      </c>
      <c r="H97" s="19">
        <f>IF(B97="","",$B$10+$B$7*(ROUND(($B$5-$B$12)/$B$6,0)-(ROW()-25)))</f>
        <v/>
      </c>
      <c r="I97" s="18">
        <f>IF(B97="","",IF((ROUND(($B$5-$B$12)/$B$6,0)-(ROW()-25))&gt;=0,($B$10*$B$5+$B$7*(ROUND(($B$5-$B$12)/$B$6,0)-(ROW()-25))*($B$5-$B$6*((ROUND(($B$5-$B$12)/$B$6,0)-(ROW()-25))+1)/2))/($B$10+$B$7*(ROUND(($B$5-$B$12)/$B$6,0)-(ROW()-25))),$B$5))</f>
        <v/>
      </c>
      <c r="J97" s="20">
        <f>IF(B97="","",H97*B97)</f>
        <v/>
      </c>
      <c r="K97" s="20">
        <f>IF(B97="","",IF(C97="CURRENT","N/A",$B$6*$B$7))</f>
        <v/>
      </c>
      <c r="L97" s="20">
        <f>IF(B97="","",IF(C97="CURRENT","N/A",2*MAX($B$8,E97*$B$9)))</f>
        <v/>
      </c>
      <c r="M97" s="20">
        <f>IF(B97="","",IF(C97="CURRENT","N/A",K97-L97))</f>
        <v/>
      </c>
      <c r="N97" s="20">
        <f>IF(B97="","",N96+IF(ISNUMBER(M97),M97,0))</f>
        <v/>
      </c>
    </row>
    <row r="98" ht="17" customHeight="1">
      <c r="A98" s="17">
        <f>IF(B98="","",ROW()-24)</f>
        <v/>
      </c>
      <c r="B98" s="18">
        <f>IF(ROUND($B$12+(ROW()-25)*$B$6,4)&lt;=$B$11,ROUND($B$12+(ROW()-25)*$B$6,4),"")</f>
        <v/>
      </c>
      <c r="C98" s="17">
        <f>IF(B98="","",IF(ROUND(B98,4)&lt;ROUND($B$5,4),"BUY",IF(ROUND(B98,4)&gt;ROUND($B$5,4),"SELL","CURRENT")))</f>
        <v/>
      </c>
      <c r="D98" s="19">
        <f>IF(B98="","",$B$7)</f>
        <v/>
      </c>
      <c r="E98" s="20">
        <f>IF(B98="","",B98*$B$7)</f>
        <v/>
      </c>
      <c r="F98" s="20">
        <f>IF(B98="","",MAX($B$8,E98*$B$9))</f>
        <v/>
      </c>
      <c r="G98" s="21">
        <f>IF(B98="","",IF(C98="BUY",$B$7,IF(C98="SELL",-$B$7,0)))</f>
        <v/>
      </c>
      <c r="H98" s="19">
        <f>IF(B98="","",$B$10+$B$7*(ROUND(($B$5-$B$12)/$B$6,0)-(ROW()-25)))</f>
        <v/>
      </c>
      <c r="I98" s="18">
        <f>IF(B98="","",IF((ROUND(($B$5-$B$12)/$B$6,0)-(ROW()-25))&gt;=0,($B$10*$B$5+$B$7*(ROUND(($B$5-$B$12)/$B$6,0)-(ROW()-25))*($B$5-$B$6*((ROUND(($B$5-$B$12)/$B$6,0)-(ROW()-25))+1)/2))/($B$10+$B$7*(ROUND(($B$5-$B$12)/$B$6,0)-(ROW()-25))),$B$5))</f>
        <v/>
      </c>
      <c r="J98" s="20">
        <f>IF(B98="","",H98*B98)</f>
        <v/>
      </c>
      <c r="K98" s="20">
        <f>IF(B98="","",IF(C98="CURRENT","N/A",$B$6*$B$7))</f>
        <v/>
      </c>
      <c r="L98" s="20">
        <f>IF(B98="","",IF(C98="CURRENT","N/A",2*MAX($B$8,E98*$B$9)))</f>
        <v/>
      </c>
      <c r="M98" s="20">
        <f>IF(B98="","",IF(C98="CURRENT","N/A",K98-L98))</f>
        <v/>
      </c>
      <c r="N98" s="20">
        <f>IF(B98="","",N97+IF(ISNUMBER(M98),M98,0))</f>
        <v/>
      </c>
    </row>
    <row r="99" ht="17" customHeight="1">
      <c r="A99" s="17">
        <f>IF(B99="","",ROW()-24)</f>
        <v/>
      </c>
      <c r="B99" s="18">
        <f>IF(ROUND($B$12+(ROW()-25)*$B$6,4)&lt;=$B$11,ROUND($B$12+(ROW()-25)*$B$6,4),"")</f>
        <v/>
      </c>
      <c r="C99" s="17">
        <f>IF(B99="","",IF(ROUND(B99,4)&lt;ROUND($B$5,4),"BUY",IF(ROUND(B99,4)&gt;ROUND($B$5,4),"SELL","CURRENT")))</f>
        <v/>
      </c>
      <c r="D99" s="19">
        <f>IF(B99="","",$B$7)</f>
        <v/>
      </c>
      <c r="E99" s="20">
        <f>IF(B99="","",B99*$B$7)</f>
        <v/>
      </c>
      <c r="F99" s="20">
        <f>IF(B99="","",MAX($B$8,E99*$B$9))</f>
        <v/>
      </c>
      <c r="G99" s="21">
        <f>IF(B99="","",IF(C99="BUY",$B$7,IF(C99="SELL",-$B$7,0)))</f>
        <v/>
      </c>
      <c r="H99" s="19">
        <f>IF(B99="","",$B$10+$B$7*(ROUND(($B$5-$B$12)/$B$6,0)-(ROW()-25)))</f>
        <v/>
      </c>
      <c r="I99" s="18">
        <f>IF(B99="","",IF((ROUND(($B$5-$B$12)/$B$6,0)-(ROW()-25))&gt;=0,($B$10*$B$5+$B$7*(ROUND(($B$5-$B$12)/$B$6,0)-(ROW()-25))*($B$5-$B$6*((ROUND(($B$5-$B$12)/$B$6,0)-(ROW()-25))+1)/2))/($B$10+$B$7*(ROUND(($B$5-$B$12)/$B$6,0)-(ROW()-25))),$B$5))</f>
        <v/>
      </c>
      <c r="J99" s="20">
        <f>IF(B99="","",H99*B99)</f>
        <v/>
      </c>
      <c r="K99" s="20">
        <f>IF(B99="","",IF(C99="CURRENT","N/A",$B$6*$B$7))</f>
        <v/>
      </c>
      <c r="L99" s="20">
        <f>IF(B99="","",IF(C99="CURRENT","N/A",2*MAX($B$8,E99*$B$9)))</f>
        <v/>
      </c>
      <c r="M99" s="20">
        <f>IF(B99="","",IF(C99="CURRENT","N/A",K99-L99))</f>
        <v/>
      </c>
      <c r="N99" s="20">
        <f>IF(B99="","",N98+IF(ISNUMBER(M99),M99,0))</f>
        <v/>
      </c>
    </row>
    <row r="100" ht="17" customHeight="1">
      <c r="A100" s="17">
        <f>IF(B100="","",ROW()-24)</f>
        <v/>
      </c>
      <c r="B100" s="18">
        <f>IF(ROUND($B$12+(ROW()-25)*$B$6,4)&lt;=$B$11,ROUND($B$12+(ROW()-25)*$B$6,4),"")</f>
        <v/>
      </c>
      <c r="C100" s="17">
        <f>IF(B100="","",IF(ROUND(B100,4)&lt;ROUND($B$5,4),"BUY",IF(ROUND(B100,4)&gt;ROUND($B$5,4),"SELL","CURRENT")))</f>
        <v/>
      </c>
      <c r="D100" s="19">
        <f>IF(B100="","",$B$7)</f>
        <v/>
      </c>
      <c r="E100" s="20">
        <f>IF(B100="","",B100*$B$7)</f>
        <v/>
      </c>
      <c r="F100" s="20">
        <f>IF(B100="","",MAX($B$8,E100*$B$9))</f>
        <v/>
      </c>
      <c r="G100" s="21">
        <f>IF(B100="","",IF(C100="BUY",$B$7,IF(C100="SELL",-$B$7,0)))</f>
        <v/>
      </c>
      <c r="H100" s="19">
        <f>IF(B100="","",$B$10+$B$7*(ROUND(($B$5-$B$12)/$B$6,0)-(ROW()-25)))</f>
        <v/>
      </c>
      <c r="I100" s="18">
        <f>IF(B100="","",IF((ROUND(($B$5-$B$12)/$B$6,0)-(ROW()-25))&gt;=0,($B$10*$B$5+$B$7*(ROUND(($B$5-$B$12)/$B$6,0)-(ROW()-25))*($B$5-$B$6*((ROUND(($B$5-$B$12)/$B$6,0)-(ROW()-25))+1)/2))/($B$10+$B$7*(ROUND(($B$5-$B$12)/$B$6,0)-(ROW()-25))),$B$5))</f>
        <v/>
      </c>
      <c r="J100" s="20">
        <f>IF(B100="","",H100*B100)</f>
        <v/>
      </c>
      <c r="K100" s="20">
        <f>IF(B100="","",IF(C100="CURRENT","N/A",$B$6*$B$7))</f>
        <v/>
      </c>
      <c r="L100" s="20">
        <f>IF(B100="","",IF(C100="CURRENT","N/A",2*MAX($B$8,E100*$B$9)))</f>
        <v/>
      </c>
      <c r="M100" s="20">
        <f>IF(B100="","",IF(C100="CURRENT","N/A",K100-L100))</f>
        <v/>
      </c>
      <c r="N100" s="20">
        <f>IF(B100="","",N99+IF(ISNUMBER(M100),M100,0))</f>
        <v/>
      </c>
    </row>
    <row r="101" ht="17" customHeight="1">
      <c r="A101" s="17">
        <f>IF(B101="","",ROW()-24)</f>
        <v/>
      </c>
      <c r="B101" s="18">
        <f>IF(ROUND($B$12+(ROW()-25)*$B$6,4)&lt;=$B$11,ROUND($B$12+(ROW()-25)*$B$6,4),"")</f>
        <v/>
      </c>
      <c r="C101" s="17">
        <f>IF(B101="","",IF(ROUND(B101,4)&lt;ROUND($B$5,4),"BUY",IF(ROUND(B101,4)&gt;ROUND($B$5,4),"SELL","CURRENT")))</f>
        <v/>
      </c>
      <c r="D101" s="19">
        <f>IF(B101="","",$B$7)</f>
        <v/>
      </c>
      <c r="E101" s="20">
        <f>IF(B101="","",B101*$B$7)</f>
        <v/>
      </c>
      <c r="F101" s="20">
        <f>IF(B101="","",MAX($B$8,E101*$B$9))</f>
        <v/>
      </c>
      <c r="G101" s="21">
        <f>IF(B101="","",IF(C101="BUY",$B$7,IF(C101="SELL",-$B$7,0)))</f>
        <v/>
      </c>
      <c r="H101" s="19">
        <f>IF(B101="","",$B$10+$B$7*(ROUND(($B$5-$B$12)/$B$6,0)-(ROW()-25)))</f>
        <v/>
      </c>
      <c r="I101" s="18">
        <f>IF(B101="","",IF((ROUND(($B$5-$B$12)/$B$6,0)-(ROW()-25))&gt;=0,($B$10*$B$5+$B$7*(ROUND(($B$5-$B$12)/$B$6,0)-(ROW()-25))*($B$5-$B$6*((ROUND(($B$5-$B$12)/$B$6,0)-(ROW()-25))+1)/2))/($B$10+$B$7*(ROUND(($B$5-$B$12)/$B$6,0)-(ROW()-25))),$B$5))</f>
        <v/>
      </c>
      <c r="J101" s="20">
        <f>IF(B101="","",H101*B101)</f>
        <v/>
      </c>
      <c r="K101" s="20">
        <f>IF(B101="","",IF(C101="CURRENT","N/A",$B$6*$B$7))</f>
        <v/>
      </c>
      <c r="L101" s="20">
        <f>IF(B101="","",IF(C101="CURRENT","N/A",2*MAX($B$8,E101*$B$9)))</f>
        <v/>
      </c>
      <c r="M101" s="20">
        <f>IF(B101="","",IF(C101="CURRENT","N/A",K101-L101))</f>
        <v/>
      </c>
      <c r="N101" s="20">
        <f>IF(B101="","",N100+IF(ISNUMBER(M101),M101,0))</f>
        <v/>
      </c>
    </row>
    <row r="102" ht="17" customHeight="1">
      <c r="A102" s="17">
        <f>IF(B102="","",ROW()-24)</f>
        <v/>
      </c>
      <c r="B102" s="18">
        <f>IF(ROUND($B$12+(ROW()-25)*$B$6,4)&lt;=$B$11,ROUND($B$12+(ROW()-25)*$B$6,4),"")</f>
        <v/>
      </c>
      <c r="C102" s="17">
        <f>IF(B102="","",IF(ROUND(B102,4)&lt;ROUND($B$5,4),"BUY",IF(ROUND(B102,4)&gt;ROUND($B$5,4),"SELL","CURRENT")))</f>
        <v/>
      </c>
      <c r="D102" s="19">
        <f>IF(B102="","",$B$7)</f>
        <v/>
      </c>
      <c r="E102" s="20">
        <f>IF(B102="","",B102*$B$7)</f>
        <v/>
      </c>
      <c r="F102" s="20">
        <f>IF(B102="","",MAX($B$8,E102*$B$9))</f>
        <v/>
      </c>
      <c r="G102" s="21">
        <f>IF(B102="","",IF(C102="BUY",$B$7,IF(C102="SELL",-$B$7,0)))</f>
        <v/>
      </c>
      <c r="H102" s="19">
        <f>IF(B102="","",$B$10+$B$7*(ROUND(($B$5-$B$12)/$B$6,0)-(ROW()-25)))</f>
        <v/>
      </c>
      <c r="I102" s="18">
        <f>IF(B102="","",IF((ROUND(($B$5-$B$12)/$B$6,0)-(ROW()-25))&gt;=0,($B$10*$B$5+$B$7*(ROUND(($B$5-$B$12)/$B$6,0)-(ROW()-25))*($B$5-$B$6*((ROUND(($B$5-$B$12)/$B$6,0)-(ROW()-25))+1)/2))/($B$10+$B$7*(ROUND(($B$5-$B$12)/$B$6,0)-(ROW()-25))),$B$5))</f>
        <v/>
      </c>
      <c r="J102" s="20">
        <f>IF(B102="","",H102*B102)</f>
        <v/>
      </c>
      <c r="K102" s="20">
        <f>IF(B102="","",IF(C102="CURRENT","N/A",$B$6*$B$7))</f>
        <v/>
      </c>
      <c r="L102" s="20">
        <f>IF(B102="","",IF(C102="CURRENT","N/A",2*MAX($B$8,E102*$B$9)))</f>
        <v/>
      </c>
      <c r="M102" s="20">
        <f>IF(B102="","",IF(C102="CURRENT","N/A",K102-L102))</f>
        <v/>
      </c>
      <c r="N102" s="20">
        <f>IF(B102="","",N101+IF(ISNUMBER(M102),M102,0))</f>
        <v/>
      </c>
    </row>
    <row r="103" ht="17" customHeight="1">
      <c r="A103" s="17">
        <f>IF(B103="","",ROW()-24)</f>
        <v/>
      </c>
      <c r="B103" s="18">
        <f>IF(ROUND($B$12+(ROW()-25)*$B$6,4)&lt;=$B$11,ROUND($B$12+(ROW()-25)*$B$6,4),"")</f>
        <v/>
      </c>
      <c r="C103" s="17">
        <f>IF(B103="","",IF(ROUND(B103,4)&lt;ROUND($B$5,4),"BUY",IF(ROUND(B103,4)&gt;ROUND($B$5,4),"SELL","CURRENT")))</f>
        <v/>
      </c>
      <c r="D103" s="19">
        <f>IF(B103="","",$B$7)</f>
        <v/>
      </c>
      <c r="E103" s="20">
        <f>IF(B103="","",B103*$B$7)</f>
        <v/>
      </c>
      <c r="F103" s="20">
        <f>IF(B103="","",MAX($B$8,E103*$B$9))</f>
        <v/>
      </c>
      <c r="G103" s="21">
        <f>IF(B103="","",IF(C103="BUY",$B$7,IF(C103="SELL",-$B$7,0)))</f>
        <v/>
      </c>
      <c r="H103" s="19">
        <f>IF(B103="","",$B$10+$B$7*(ROUND(($B$5-$B$12)/$B$6,0)-(ROW()-25)))</f>
        <v/>
      </c>
      <c r="I103" s="18">
        <f>IF(B103="","",IF((ROUND(($B$5-$B$12)/$B$6,0)-(ROW()-25))&gt;=0,($B$10*$B$5+$B$7*(ROUND(($B$5-$B$12)/$B$6,0)-(ROW()-25))*($B$5-$B$6*((ROUND(($B$5-$B$12)/$B$6,0)-(ROW()-25))+1)/2))/($B$10+$B$7*(ROUND(($B$5-$B$12)/$B$6,0)-(ROW()-25))),$B$5))</f>
        <v/>
      </c>
      <c r="J103" s="20">
        <f>IF(B103="","",H103*B103)</f>
        <v/>
      </c>
      <c r="K103" s="20">
        <f>IF(B103="","",IF(C103="CURRENT","N/A",$B$6*$B$7))</f>
        <v/>
      </c>
      <c r="L103" s="20">
        <f>IF(B103="","",IF(C103="CURRENT","N/A",2*MAX($B$8,E103*$B$9)))</f>
        <v/>
      </c>
      <c r="M103" s="20">
        <f>IF(B103="","",IF(C103="CURRENT","N/A",K103-L103))</f>
        <v/>
      </c>
      <c r="N103" s="20">
        <f>IF(B103="","",N102+IF(ISNUMBER(M103),M103,0))</f>
        <v/>
      </c>
    </row>
    <row r="104" ht="17" customHeight="1">
      <c r="A104" s="17">
        <f>IF(B104="","",ROW()-24)</f>
        <v/>
      </c>
      <c r="B104" s="18">
        <f>IF(ROUND($B$12+(ROW()-25)*$B$6,4)&lt;=$B$11,ROUND($B$12+(ROW()-25)*$B$6,4),"")</f>
        <v/>
      </c>
      <c r="C104" s="17">
        <f>IF(B104="","",IF(ROUND(B104,4)&lt;ROUND($B$5,4),"BUY",IF(ROUND(B104,4)&gt;ROUND($B$5,4),"SELL","CURRENT")))</f>
        <v/>
      </c>
      <c r="D104" s="19">
        <f>IF(B104="","",$B$7)</f>
        <v/>
      </c>
      <c r="E104" s="20">
        <f>IF(B104="","",B104*$B$7)</f>
        <v/>
      </c>
      <c r="F104" s="20">
        <f>IF(B104="","",MAX($B$8,E104*$B$9))</f>
        <v/>
      </c>
      <c r="G104" s="21">
        <f>IF(B104="","",IF(C104="BUY",$B$7,IF(C104="SELL",-$B$7,0)))</f>
        <v/>
      </c>
      <c r="H104" s="19">
        <f>IF(B104="","",$B$10+$B$7*(ROUND(($B$5-$B$12)/$B$6,0)-(ROW()-25)))</f>
        <v/>
      </c>
      <c r="I104" s="18">
        <f>IF(B104="","",IF((ROUND(($B$5-$B$12)/$B$6,0)-(ROW()-25))&gt;=0,($B$10*$B$5+$B$7*(ROUND(($B$5-$B$12)/$B$6,0)-(ROW()-25))*($B$5-$B$6*((ROUND(($B$5-$B$12)/$B$6,0)-(ROW()-25))+1)/2))/($B$10+$B$7*(ROUND(($B$5-$B$12)/$B$6,0)-(ROW()-25))),$B$5))</f>
        <v/>
      </c>
      <c r="J104" s="20">
        <f>IF(B104="","",H104*B104)</f>
        <v/>
      </c>
      <c r="K104" s="20">
        <f>IF(B104="","",IF(C104="CURRENT","N/A",$B$6*$B$7))</f>
        <v/>
      </c>
      <c r="L104" s="20">
        <f>IF(B104="","",IF(C104="CURRENT","N/A",2*MAX($B$8,E104*$B$9)))</f>
        <v/>
      </c>
      <c r="M104" s="20">
        <f>IF(B104="","",IF(C104="CURRENT","N/A",K104-L104))</f>
        <v/>
      </c>
      <c r="N104" s="20">
        <f>IF(B104="","",N103+IF(ISNUMBER(M104),M104,0))</f>
        <v/>
      </c>
    </row>
    <row r="105" ht="17" customHeight="1">
      <c r="A105" s="17">
        <f>IF(B105="","",ROW()-24)</f>
        <v/>
      </c>
      <c r="B105" s="18">
        <f>IF(ROUND($B$12+(ROW()-25)*$B$6,4)&lt;=$B$11,ROUND($B$12+(ROW()-25)*$B$6,4),"")</f>
        <v/>
      </c>
      <c r="C105" s="17">
        <f>IF(B105="","",IF(ROUND(B105,4)&lt;ROUND($B$5,4),"BUY",IF(ROUND(B105,4)&gt;ROUND($B$5,4),"SELL","CURRENT")))</f>
        <v/>
      </c>
      <c r="D105" s="19">
        <f>IF(B105="","",$B$7)</f>
        <v/>
      </c>
      <c r="E105" s="20">
        <f>IF(B105="","",B105*$B$7)</f>
        <v/>
      </c>
      <c r="F105" s="20">
        <f>IF(B105="","",MAX($B$8,E105*$B$9))</f>
        <v/>
      </c>
      <c r="G105" s="21">
        <f>IF(B105="","",IF(C105="BUY",$B$7,IF(C105="SELL",-$B$7,0)))</f>
        <v/>
      </c>
      <c r="H105" s="19">
        <f>IF(B105="","",$B$10+$B$7*(ROUND(($B$5-$B$12)/$B$6,0)-(ROW()-25)))</f>
        <v/>
      </c>
      <c r="I105" s="18">
        <f>IF(B105="","",IF((ROUND(($B$5-$B$12)/$B$6,0)-(ROW()-25))&gt;=0,($B$10*$B$5+$B$7*(ROUND(($B$5-$B$12)/$B$6,0)-(ROW()-25))*($B$5-$B$6*((ROUND(($B$5-$B$12)/$B$6,0)-(ROW()-25))+1)/2))/($B$10+$B$7*(ROUND(($B$5-$B$12)/$B$6,0)-(ROW()-25))),$B$5))</f>
        <v/>
      </c>
      <c r="J105" s="20">
        <f>IF(B105="","",H105*B105)</f>
        <v/>
      </c>
      <c r="K105" s="20">
        <f>IF(B105="","",IF(C105="CURRENT","N/A",$B$6*$B$7))</f>
        <v/>
      </c>
      <c r="L105" s="20">
        <f>IF(B105="","",IF(C105="CURRENT","N/A",2*MAX($B$8,E105*$B$9)))</f>
        <v/>
      </c>
      <c r="M105" s="20">
        <f>IF(B105="","",IF(C105="CURRENT","N/A",K105-L105))</f>
        <v/>
      </c>
      <c r="N105" s="20">
        <f>IF(B105="","",N104+IF(ISNUMBER(M105),M105,0))</f>
        <v/>
      </c>
    </row>
    <row r="106" ht="17" customHeight="1">
      <c r="A106" s="17">
        <f>IF(B106="","",ROW()-24)</f>
        <v/>
      </c>
      <c r="B106" s="18">
        <f>IF(ROUND($B$12+(ROW()-25)*$B$6,4)&lt;=$B$11,ROUND($B$12+(ROW()-25)*$B$6,4),"")</f>
        <v/>
      </c>
      <c r="C106" s="17">
        <f>IF(B106="","",IF(ROUND(B106,4)&lt;ROUND($B$5,4),"BUY",IF(ROUND(B106,4)&gt;ROUND($B$5,4),"SELL","CURRENT")))</f>
        <v/>
      </c>
      <c r="D106" s="19">
        <f>IF(B106="","",$B$7)</f>
        <v/>
      </c>
      <c r="E106" s="20">
        <f>IF(B106="","",B106*$B$7)</f>
        <v/>
      </c>
      <c r="F106" s="20">
        <f>IF(B106="","",MAX($B$8,E106*$B$9))</f>
        <v/>
      </c>
      <c r="G106" s="21">
        <f>IF(B106="","",IF(C106="BUY",$B$7,IF(C106="SELL",-$B$7,0)))</f>
        <v/>
      </c>
      <c r="H106" s="19">
        <f>IF(B106="","",$B$10+$B$7*(ROUND(($B$5-$B$12)/$B$6,0)-(ROW()-25)))</f>
        <v/>
      </c>
      <c r="I106" s="18">
        <f>IF(B106="","",IF((ROUND(($B$5-$B$12)/$B$6,0)-(ROW()-25))&gt;=0,($B$10*$B$5+$B$7*(ROUND(($B$5-$B$12)/$B$6,0)-(ROW()-25))*($B$5-$B$6*((ROUND(($B$5-$B$12)/$B$6,0)-(ROW()-25))+1)/2))/($B$10+$B$7*(ROUND(($B$5-$B$12)/$B$6,0)-(ROW()-25))),$B$5))</f>
        <v/>
      </c>
      <c r="J106" s="20">
        <f>IF(B106="","",H106*B106)</f>
        <v/>
      </c>
      <c r="K106" s="20">
        <f>IF(B106="","",IF(C106="CURRENT","N/A",$B$6*$B$7))</f>
        <v/>
      </c>
      <c r="L106" s="20">
        <f>IF(B106="","",IF(C106="CURRENT","N/A",2*MAX($B$8,E106*$B$9)))</f>
        <v/>
      </c>
      <c r="M106" s="20">
        <f>IF(B106="","",IF(C106="CURRENT","N/A",K106-L106))</f>
        <v/>
      </c>
      <c r="N106" s="20">
        <f>IF(B106="","",N105+IF(ISNUMBER(M106),M106,0))</f>
        <v/>
      </c>
    </row>
    <row r="107" ht="17" customHeight="1">
      <c r="A107" s="17">
        <f>IF(B107="","",ROW()-24)</f>
        <v/>
      </c>
      <c r="B107" s="18">
        <f>IF(ROUND($B$12+(ROW()-25)*$B$6,4)&lt;=$B$11,ROUND($B$12+(ROW()-25)*$B$6,4),"")</f>
        <v/>
      </c>
      <c r="C107" s="17">
        <f>IF(B107="","",IF(ROUND(B107,4)&lt;ROUND($B$5,4),"BUY",IF(ROUND(B107,4)&gt;ROUND($B$5,4),"SELL","CURRENT")))</f>
        <v/>
      </c>
      <c r="D107" s="19">
        <f>IF(B107="","",$B$7)</f>
        <v/>
      </c>
      <c r="E107" s="20">
        <f>IF(B107="","",B107*$B$7)</f>
        <v/>
      </c>
      <c r="F107" s="20">
        <f>IF(B107="","",MAX($B$8,E107*$B$9))</f>
        <v/>
      </c>
      <c r="G107" s="21">
        <f>IF(B107="","",IF(C107="BUY",$B$7,IF(C107="SELL",-$B$7,0)))</f>
        <v/>
      </c>
      <c r="H107" s="19">
        <f>IF(B107="","",$B$10+$B$7*(ROUND(($B$5-$B$12)/$B$6,0)-(ROW()-25)))</f>
        <v/>
      </c>
      <c r="I107" s="18">
        <f>IF(B107="","",IF((ROUND(($B$5-$B$12)/$B$6,0)-(ROW()-25))&gt;=0,($B$10*$B$5+$B$7*(ROUND(($B$5-$B$12)/$B$6,0)-(ROW()-25))*($B$5-$B$6*((ROUND(($B$5-$B$12)/$B$6,0)-(ROW()-25))+1)/2))/($B$10+$B$7*(ROUND(($B$5-$B$12)/$B$6,0)-(ROW()-25))),$B$5))</f>
        <v/>
      </c>
      <c r="J107" s="20">
        <f>IF(B107="","",H107*B107)</f>
        <v/>
      </c>
      <c r="K107" s="20">
        <f>IF(B107="","",IF(C107="CURRENT","N/A",$B$6*$B$7))</f>
        <v/>
      </c>
      <c r="L107" s="20">
        <f>IF(B107="","",IF(C107="CURRENT","N/A",2*MAX($B$8,E107*$B$9)))</f>
        <v/>
      </c>
      <c r="M107" s="20">
        <f>IF(B107="","",IF(C107="CURRENT","N/A",K107-L107))</f>
        <v/>
      </c>
      <c r="N107" s="20">
        <f>IF(B107="","",N106+IF(ISNUMBER(M107),M107,0))</f>
        <v/>
      </c>
    </row>
    <row r="108" ht="17" customHeight="1">
      <c r="A108" s="17">
        <f>IF(B108="","",ROW()-24)</f>
        <v/>
      </c>
      <c r="B108" s="18">
        <f>IF(ROUND($B$12+(ROW()-25)*$B$6,4)&lt;=$B$11,ROUND($B$12+(ROW()-25)*$B$6,4),"")</f>
        <v/>
      </c>
      <c r="C108" s="17">
        <f>IF(B108="","",IF(ROUND(B108,4)&lt;ROUND($B$5,4),"BUY",IF(ROUND(B108,4)&gt;ROUND($B$5,4),"SELL","CURRENT")))</f>
        <v/>
      </c>
      <c r="D108" s="19">
        <f>IF(B108="","",$B$7)</f>
        <v/>
      </c>
      <c r="E108" s="20">
        <f>IF(B108="","",B108*$B$7)</f>
        <v/>
      </c>
      <c r="F108" s="20">
        <f>IF(B108="","",MAX($B$8,E108*$B$9))</f>
        <v/>
      </c>
      <c r="G108" s="21">
        <f>IF(B108="","",IF(C108="BUY",$B$7,IF(C108="SELL",-$B$7,0)))</f>
        <v/>
      </c>
      <c r="H108" s="19">
        <f>IF(B108="","",$B$10+$B$7*(ROUND(($B$5-$B$12)/$B$6,0)-(ROW()-25)))</f>
        <v/>
      </c>
      <c r="I108" s="18">
        <f>IF(B108="","",IF((ROUND(($B$5-$B$12)/$B$6,0)-(ROW()-25))&gt;=0,($B$10*$B$5+$B$7*(ROUND(($B$5-$B$12)/$B$6,0)-(ROW()-25))*($B$5-$B$6*((ROUND(($B$5-$B$12)/$B$6,0)-(ROW()-25))+1)/2))/($B$10+$B$7*(ROUND(($B$5-$B$12)/$B$6,0)-(ROW()-25))),$B$5))</f>
        <v/>
      </c>
      <c r="J108" s="20">
        <f>IF(B108="","",H108*B108)</f>
        <v/>
      </c>
      <c r="K108" s="20">
        <f>IF(B108="","",IF(C108="CURRENT","N/A",$B$6*$B$7))</f>
        <v/>
      </c>
      <c r="L108" s="20">
        <f>IF(B108="","",IF(C108="CURRENT","N/A",2*MAX($B$8,E108*$B$9)))</f>
        <v/>
      </c>
      <c r="M108" s="20">
        <f>IF(B108="","",IF(C108="CURRENT","N/A",K108-L108))</f>
        <v/>
      </c>
      <c r="N108" s="20">
        <f>IF(B108="","",N107+IF(ISNUMBER(M108),M108,0))</f>
        <v/>
      </c>
    </row>
    <row r="109" ht="17" customHeight="1">
      <c r="A109" s="17">
        <f>IF(B109="","",ROW()-24)</f>
        <v/>
      </c>
      <c r="B109" s="18">
        <f>IF(ROUND($B$12+(ROW()-25)*$B$6,4)&lt;=$B$11,ROUND($B$12+(ROW()-25)*$B$6,4),"")</f>
        <v/>
      </c>
      <c r="C109" s="17">
        <f>IF(B109="","",IF(ROUND(B109,4)&lt;ROUND($B$5,4),"BUY",IF(ROUND(B109,4)&gt;ROUND($B$5,4),"SELL","CURRENT")))</f>
        <v/>
      </c>
      <c r="D109" s="19">
        <f>IF(B109="","",$B$7)</f>
        <v/>
      </c>
      <c r="E109" s="20">
        <f>IF(B109="","",B109*$B$7)</f>
        <v/>
      </c>
      <c r="F109" s="20">
        <f>IF(B109="","",MAX($B$8,E109*$B$9))</f>
        <v/>
      </c>
      <c r="G109" s="21">
        <f>IF(B109="","",IF(C109="BUY",$B$7,IF(C109="SELL",-$B$7,0)))</f>
        <v/>
      </c>
      <c r="H109" s="19">
        <f>IF(B109="","",$B$10+$B$7*(ROUND(($B$5-$B$12)/$B$6,0)-(ROW()-25)))</f>
        <v/>
      </c>
      <c r="I109" s="18">
        <f>IF(B109="","",IF((ROUND(($B$5-$B$12)/$B$6,0)-(ROW()-25))&gt;=0,($B$10*$B$5+$B$7*(ROUND(($B$5-$B$12)/$B$6,0)-(ROW()-25))*($B$5-$B$6*((ROUND(($B$5-$B$12)/$B$6,0)-(ROW()-25))+1)/2))/($B$10+$B$7*(ROUND(($B$5-$B$12)/$B$6,0)-(ROW()-25))),$B$5))</f>
        <v/>
      </c>
      <c r="J109" s="20">
        <f>IF(B109="","",H109*B109)</f>
        <v/>
      </c>
      <c r="K109" s="20">
        <f>IF(B109="","",IF(C109="CURRENT","N/A",$B$6*$B$7))</f>
        <v/>
      </c>
      <c r="L109" s="20">
        <f>IF(B109="","",IF(C109="CURRENT","N/A",2*MAX($B$8,E109*$B$9)))</f>
        <v/>
      </c>
      <c r="M109" s="20">
        <f>IF(B109="","",IF(C109="CURRENT","N/A",K109-L109))</f>
        <v/>
      </c>
      <c r="N109" s="20">
        <f>IF(B109="","",N108+IF(ISNUMBER(M109),M109,0))</f>
        <v/>
      </c>
    </row>
    <row r="110" ht="17" customHeight="1">
      <c r="A110" s="17">
        <f>IF(B110="","",ROW()-24)</f>
        <v/>
      </c>
      <c r="B110" s="18">
        <f>IF(ROUND($B$12+(ROW()-25)*$B$6,4)&lt;=$B$11,ROUND($B$12+(ROW()-25)*$B$6,4),"")</f>
        <v/>
      </c>
      <c r="C110" s="17">
        <f>IF(B110="","",IF(ROUND(B110,4)&lt;ROUND($B$5,4),"BUY",IF(ROUND(B110,4)&gt;ROUND($B$5,4),"SELL","CURRENT")))</f>
        <v/>
      </c>
      <c r="D110" s="19">
        <f>IF(B110="","",$B$7)</f>
        <v/>
      </c>
      <c r="E110" s="20">
        <f>IF(B110="","",B110*$B$7)</f>
        <v/>
      </c>
      <c r="F110" s="20">
        <f>IF(B110="","",MAX($B$8,E110*$B$9))</f>
        <v/>
      </c>
      <c r="G110" s="21">
        <f>IF(B110="","",IF(C110="BUY",$B$7,IF(C110="SELL",-$B$7,0)))</f>
        <v/>
      </c>
      <c r="H110" s="19">
        <f>IF(B110="","",$B$10+$B$7*(ROUND(($B$5-$B$12)/$B$6,0)-(ROW()-25)))</f>
        <v/>
      </c>
      <c r="I110" s="18">
        <f>IF(B110="","",IF((ROUND(($B$5-$B$12)/$B$6,0)-(ROW()-25))&gt;=0,($B$10*$B$5+$B$7*(ROUND(($B$5-$B$12)/$B$6,0)-(ROW()-25))*($B$5-$B$6*((ROUND(($B$5-$B$12)/$B$6,0)-(ROW()-25))+1)/2))/($B$10+$B$7*(ROUND(($B$5-$B$12)/$B$6,0)-(ROW()-25))),$B$5))</f>
        <v/>
      </c>
      <c r="J110" s="20">
        <f>IF(B110="","",H110*B110)</f>
        <v/>
      </c>
      <c r="K110" s="20">
        <f>IF(B110="","",IF(C110="CURRENT","N/A",$B$6*$B$7))</f>
        <v/>
      </c>
      <c r="L110" s="20">
        <f>IF(B110="","",IF(C110="CURRENT","N/A",2*MAX($B$8,E110*$B$9)))</f>
        <v/>
      </c>
      <c r="M110" s="20">
        <f>IF(B110="","",IF(C110="CURRENT","N/A",K110-L110))</f>
        <v/>
      </c>
      <c r="N110" s="20">
        <f>IF(B110="","",N109+IF(ISNUMBER(M110),M110,0))</f>
        <v/>
      </c>
    </row>
    <row r="111" ht="17" customHeight="1">
      <c r="A111" s="17">
        <f>IF(B111="","",ROW()-24)</f>
        <v/>
      </c>
      <c r="B111" s="18">
        <f>IF(ROUND($B$12+(ROW()-25)*$B$6,4)&lt;=$B$11,ROUND($B$12+(ROW()-25)*$B$6,4),"")</f>
        <v/>
      </c>
      <c r="C111" s="17">
        <f>IF(B111="","",IF(ROUND(B111,4)&lt;ROUND($B$5,4),"BUY",IF(ROUND(B111,4)&gt;ROUND($B$5,4),"SELL","CURRENT")))</f>
        <v/>
      </c>
      <c r="D111" s="19">
        <f>IF(B111="","",$B$7)</f>
        <v/>
      </c>
      <c r="E111" s="20">
        <f>IF(B111="","",B111*$B$7)</f>
        <v/>
      </c>
      <c r="F111" s="20">
        <f>IF(B111="","",MAX($B$8,E111*$B$9))</f>
        <v/>
      </c>
      <c r="G111" s="21">
        <f>IF(B111="","",IF(C111="BUY",$B$7,IF(C111="SELL",-$B$7,0)))</f>
        <v/>
      </c>
      <c r="H111" s="19">
        <f>IF(B111="","",$B$10+$B$7*(ROUND(($B$5-$B$12)/$B$6,0)-(ROW()-25)))</f>
        <v/>
      </c>
      <c r="I111" s="18">
        <f>IF(B111="","",IF((ROUND(($B$5-$B$12)/$B$6,0)-(ROW()-25))&gt;=0,($B$10*$B$5+$B$7*(ROUND(($B$5-$B$12)/$B$6,0)-(ROW()-25))*($B$5-$B$6*((ROUND(($B$5-$B$12)/$B$6,0)-(ROW()-25))+1)/2))/($B$10+$B$7*(ROUND(($B$5-$B$12)/$B$6,0)-(ROW()-25))),$B$5))</f>
        <v/>
      </c>
      <c r="J111" s="20">
        <f>IF(B111="","",H111*B111)</f>
        <v/>
      </c>
      <c r="K111" s="20">
        <f>IF(B111="","",IF(C111="CURRENT","N/A",$B$6*$B$7))</f>
        <v/>
      </c>
      <c r="L111" s="20">
        <f>IF(B111="","",IF(C111="CURRENT","N/A",2*MAX($B$8,E111*$B$9)))</f>
        <v/>
      </c>
      <c r="M111" s="20">
        <f>IF(B111="","",IF(C111="CURRENT","N/A",K111-L111))</f>
        <v/>
      </c>
      <c r="N111" s="20">
        <f>IF(B111="","",N110+IF(ISNUMBER(M111),M111,0))</f>
        <v/>
      </c>
    </row>
    <row r="112" ht="17" customHeight="1">
      <c r="A112" s="17">
        <f>IF(B112="","",ROW()-24)</f>
        <v/>
      </c>
      <c r="B112" s="18">
        <f>IF(ROUND($B$12+(ROW()-25)*$B$6,4)&lt;=$B$11,ROUND($B$12+(ROW()-25)*$B$6,4),"")</f>
        <v/>
      </c>
      <c r="C112" s="17">
        <f>IF(B112="","",IF(ROUND(B112,4)&lt;ROUND($B$5,4),"BUY",IF(ROUND(B112,4)&gt;ROUND($B$5,4),"SELL","CURRENT")))</f>
        <v/>
      </c>
      <c r="D112" s="19">
        <f>IF(B112="","",$B$7)</f>
        <v/>
      </c>
      <c r="E112" s="20">
        <f>IF(B112="","",B112*$B$7)</f>
        <v/>
      </c>
      <c r="F112" s="20">
        <f>IF(B112="","",MAX($B$8,E112*$B$9))</f>
        <v/>
      </c>
      <c r="G112" s="21">
        <f>IF(B112="","",IF(C112="BUY",$B$7,IF(C112="SELL",-$B$7,0)))</f>
        <v/>
      </c>
      <c r="H112" s="19">
        <f>IF(B112="","",$B$10+$B$7*(ROUND(($B$5-$B$12)/$B$6,0)-(ROW()-25)))</f>
        <v/>
      </c>
      <c r="I112" s="18">
        <f>IF(B112="","",IF((ROUND(($B$5-$B$12)/$B$6,0)-(ROW()-25))&gt;=0,($B$10*$B$5+$B$7*(ROUND(($B$5-$B$12)/$B$6,0)-(ROW()-25))*($B$5-$B$6*((ROUND(($B$5-$B$12)/$B$6,0)-(ROW()-25))+1)/2))/($B$10+$B$7*(ROUND(($B$5-$B$12)/$B$6,0)-(ROW()-25))),$B$5))</f>
        <v/>
      </c>
      <c r="J112" s="20">
        <f>IF(B112="","",H112*B112)</f>
        <v/>
      </c>
      <c r="K112" s="20">
        <f>IF(B112="","",IF(C112="CURRENT","N/A",$B$6*$B$7))</f>
        <v/>
      </c>
      <c r="L112" s="20">
        <f>IF(B112="","",IF(C112="CURRENT","N/A",2*MAX($B$8,E112*$B$9)))</f>
        <v/>
      </c>
      <c r="M112" s="20">
        <f>IF(B112="","",IF(C112="CURRENT","N/A",K112-L112))</f>
        <v/>
      </c>
      <c r="N112" s="20">
        <f>IF(B112="","",N111+IF(ISNUMBER(M112),M112,0))</f>
        <v/>
      </c>
    </row>
    <row r="113" ht="17" customHeight="1">
      <c r="A113" s="17">
        <f>IF(B113="","",ROW()-24)</f>
        <v/>
      </c>
      <c r="B113" s="18">
        <f>IF(ROUND($B$12+(ROW()-25)*$B$6,4)&lt;=$B$11,ROUND($B$12+(ROW()-25)*$B$6,4),"")</f>
        <v/>
      </c>
      <c r="C113" s="17">
        <f>IF(B113="","",IF(ROUND(B113,4)&lt;ROUND($B$5,4),"BUY",IF(ROUND(B113,4)&gt;ROUND($B$5,4),"SELL","CURRENT")))</f>
        <v/>
      </c>
      <c r="D113" s="19">
        <f>IF(B113="","",$B$7)</f>
        <v/>
      </c>
      <c r="E113" s="20">
        <f>IF(B113="","",B113*$B$7)</f>
        <v/>
      </c>
      <c r="F113" s="20">
        <f>IF(B113="","",MAX($B$8,E113*$B$9))</f>
        <v/>
      </c>
      <c r="G113" s="21">
        <f>IF(B113="","",IF(C113="BUY",$B$7,IF(C113="SELL",-$B$7,0)))</f>
        <v/>
      </c>
      <c r="H113" s="19">
        <f>IF(B113="","",$B$10+$B$7*(ROUND(($B$5-$B$12)/$B$6,0)-(ROW()-25)))</f>
        <v/>
      </c>
      <c r="I113" s="18">
        <f>IF(B113="","",IF((ROUND(($B$5-$B$12)/$B$6,0)-(ROW()-25))&gt;=0,($B$10*$B$5+$B$7*(ROUND(($B$5-$B$12)/$B$6,0)-(ROW()-25))*($B$5-$B$6*((ROUND(($B$5-$B$12)/$B$6,0)-(ROW()-25))+1)/2))/($B$10+$B$7*(ROUND(($B$5-$B$12)/$B$6,0)-(ROW()-25))),$B$5))</f>
        <v/>
      </c>
      <c r="J113" s="20">
        <f>IF(B113="","",H113*B113)</f>
        <v/>
      </c>
      <c r="K113" s="20">
        <f>IF(B113="","",IF(C113="CURRENT","N/A",$B$6*$B$7))</f>
        <v/>
      </c>
      <c r="L113" s="20">
        <f>IF(B113="","",IF(C113="CURRENT","N/A",2*MAX($B$8,E113*$B$9)))</f>
        <v/>
      </c>
      <c r="M113" s="20">
        <f>IF(B113="","",IF(C113="CURRENT","N/A",K113-L113))</f>
        <v/>
      </c>
      <c r="N113" s="20">
        <f>IF(B113="","",N112+IF(ISNUMBER(M113),M113,0))</f>
        <v/>
      </c>
    </row>
    <row r="114" ht="17" customHeight="1">
      <c r="A114" s="17">
        <f>IF(B114="","",ROW()-24)</f>
        <v/>
      </c>
      <c r="B114" s="18">
        <f>IF(ROUND($B$12+(ROW()-25)*$B$6,4)&lt;=$B$11,ROUND($B$12+(ROW()-25)*$B$6,4),"")</f>
        <v/>
      </c>
      <c r="C114" s="17">
        <f>IF(B114="","",IF(ROUND(B114,4)&lt;ROUND($B$5,4),"BUY",IF(ROUND(B114,4)&gt;ROUND($B$5,4),"SELL","CURRENT")))</f>
        <v/>
      </c>
      <c r="D114" s="19">
        <f>IF(B114="","",$B$7)</f>
        <v/>
      </c>
      <c r="E114" s="20">
        <f>IF(B114="","",B114*$B$7)</f>
        <v/>
      </c>
      <c r="F114" s="20">
        <f>IF(B114="","",MAX($B$8,E114*$B$9))</f>
        <v/>
      </c>
      <c r="G114" s="21">
        <f>IF(B114="","",IF(C114="BUY",$B$7,IF(C114="SELL",-$B$7,0)))</f>
        <v/>
      </c>
      <c r="H114" s="19">
        <f>IF(B114="","",$B$10+$B$7*(ROUND(($B$5-$B$12)/$B$6,0)-(ROW()-25)))</f>
        <v/>
      </c>
      <c r="I114" s="18">
        <f>IF(B114="","",IF((ROUND(($B$5-$B$12)/$B$6,0)-(ROW()-25))&gt;=0,($B$10*$B$5+$B$7*(ROUND(($B$5-$B$12)/$B$6,0)-(ROW()-25))*($B$5-$B$6*((ROUND(($B$5-$B$12)/$B$6,0)-(ROW()-25))+1)/2))/($B$10+$B$7*(ROUND(($B$5-$B$12)/$B$6,0)-(ROW()-25))),$B$5))</f>
        <v/>
      </c>
      <c r="J114" s="20">
        <f>IF(B114="","",H114*B114)</f>
        <v/>
      </c>
      <c r="K114" s="20">
        <f>IF(B114="","",IF(C114="CURRENT","N/A",$B$6*$B$7))</f>
        <v/>
      </c>
      <c r="L114" s="20">
        <f>IF(B114="","",IF(C114="CURRENT","N/A",2*MAX($B$8,E114*$B$9)))</f>
        <v/>
      </c>
      <c r="M114" s="20">
        <f>IF(B114="","",IF(C114="CURRENT","N/A",K114-L114))</f>
        <v/>
      </c>
      <c r="N114" s="20">
        <f>IF(B114="","",N113+IF(ISNUMBER(M114),M114,0))</f>
        <v/>
      </c>
    </row>
    <row r="115" ht="17" customHeight="1">
      <c r="A115" s="17">
        <f>IF(B115="","",ROW()-24)</f>
        <v/>
      </c>
      <c r="B115" s="18">
        <f>IF(ROUND($B$12+(ROW()-25)*$B$6,4)&lt;=$B$11,ROUND($B$12+(ROW()-25)*$B$6,4),"")</f>
        <v/>
      </c>
      <c r="C115" s="17">
        <f>IF(B115="","",IF(ROUND(B115,4)&lt;ROUND($B$5,4),"BUY",IF(ROUND(B115,4)&gt;ROUND($B$5,4),"SELL","CURRENT")))</f>
        <v/>
      </c>
      <c r="D115" s="19">
        <f>IF(B115="","",$B$7)</f>
        <v/>
      </c>
      <c r="E115" s="20">
        <f>IF(B115="","",B115*$B$7)</f>
        <v/>
      </c>
      <c r="F115" s="20">
        <f>IF(B115="","",MAX($B$8,E115*$B$9))</f>
        <v/>
      </c>
      <c r="G115" s="21">
        <f>IF(B115="","",IF(C115="BUY",$B$7,IF(C115="SELL",-$B$7,0)))</f>
        <v/>
      </c>
      <c r="H115" s="19">
        <f>IF(B115="","",$B$10+$B$7*(ROUND(($B$5-$B$12)/$B$6,0)-(ROW()-25)))</f>
        <v/>
      </c>
      <c r="I115" s="18">
        <f>IF(B115="","",IF((ROUND(($B$5-$B$12)/$B$6,0)-(ROW()-25))&gt;=0,($B$10*$B$5+$B$7*(ROUND(($B$5-$B$12)/$B$6,0)-(ROW()-25))*($B$5-$B$6*((ROUND(($B$5-$B$12)/$B$6,0)-(ROW()-25))+1)/2))/($B$10+$B$7*(ROUND(($B$5-$B$12)/$B$6,0)-(ROW()-25))),$B$5))</f>
        <v/>
      </c>
      <c r="J115" s="20">
        <f>IF(B115="","",H115*B115)</f>
        <v/>
      </c>
      <c r="K115" s="20">
        <f>IF(B115="","",IF(C115="CURRENT","N/A",$B$6*$B$7))</f>
        <v/>
      </c>
      <c r="L115" s="20">
        <f>IF(B115="","",IF(C115="CURRENT","N/A",2*MAX($B$8,E115*$B$9)))</f>
        <v/>
      </c>
      <c r="M115" s="20">
        <f>IF(B115="","",IF(C115="CURRENT","N/A",K115-L115))</f>
        <v/>
      </c>
      <c r="N115" s="20">
        <f>IF(B115="","",N114+IF(ISNUMBER(M115),M115,0))</f>
        <v/>
      </c>
    </row>
    <row r="116" ht="17" customHeight="1">
      <c r="A116" s="17">
        <f>IF(B116="","",ROW()-24)</f>
        <v/>
      </c>
      <c r="B116" s="18">
        <f>IF(ROUND($B$12+(ROW()-25)*$B$6,4)&lt;=$B$11,ROUND($B$12+(ROW()-25)*$B$6,4),"")</f>
        <v/>
      </c>
      <c r="C116" s="17">
        <f>IF(B116="","",IF(ROUND(B116,4)&lt;ROUND($B$5,4),"BUY",IF(ROUND(B116,4)&gt;ROUND($B$5,4),"SELL","CURRENT")))</f>
        <v/>
      </c>
      <c r="D116" s="19">
        <f>IF(B116="","",$B$7)</f>
        <v/>
      </c>
      <c r="E116" s="20">
        <f>IF(B116="","",B116*$B$7)</f>
        <v/>
      </c>
      <c r="F116" s="20">
        <f>IF(B116="","",MAX($B$8,E116*$B$9))</f>
        <v/>
      </c>
      <c r="G116" s="21">
        <f>IF(B116="","",IF(C116="BUY",$B$7,IF(C116="SELL",-$B$7,0)))</f>
        <v/>
      </c>
      <c r="H116" s="19">
        <f>IF(B116="","",$B$10+$B$7*(ROUND(($B$5-$B$12)/$B$6,0)-(ROW()-25)))</f>
        <v/>
      </c>
      <c r="I116" s="18">
        <f>IF(B116="","",IF((ROUND(($B$5-$B$12)/$B$6,0)-(ROW()-25))&gt;=0,($B$10*$B$5+$B$7*(ROUND(($B$5-$B$12)/$B$6,0)-(ROW()-25))*($B$5-$B$6*((ROUND(($B$5-$B$12)/$B$6,0)-(ROW()-25))+1)/2))/($B$10+$B$7*(ROUND(($B$5-$B$12)/$B$6,0)-(ROW()-25))),$B$5))</f>
        <v/>
      </c>
      <c r="J116" s="20">
        <f>IF(B116="","",H116*B116)</f>
        <v/>
      </c>
      <c r="K116" s="20">
        <f>IF(B116="","",IF(C116="CURRENT","N/A",$B$6*$B$7))</f>
        <v/>
      </c>
      <c r="L116" s="20">
        <f>IF(B116="","",IF(C116="CURRENT","N/A",2*MAX($B$8,E116*$B$9)))</f>
        <v/>
      </c>
      <c r="M116" s="20">
        <f>IF(B116="","",IF(C116="CURRENT","N/A",K116-L116))</f>
        <v/>
      </c>
      <c r="N116" s="20">
        <f>IF(B116="","",N115+IF(ISNUMBER(M116),M116,0))</f>
        <v/>
      </c>
    </row>
    <row r="117" ht="17" customHeight="1">
      <c r="A117" s="17">
        <f>IF(B117="","",ROW()-24)</f>
        <v/>
      </c>
      <c r="B117" s="18">
        <f>IF(ROUND($B$12+(ROW()-25)*$B$6,4)&lt;=$B$11,ROUND($B$12+(ROW()-25)*$B$6,4),"")</f>
        <v/>
      </c>
      <c r="C117" s="17">
        <f>IF(B117="","",IF(ROUND(B117,4)&lt;ROUND($B$5,4),"BUY",IF(ROUND(B117,4)&gt;ROUND($B$5,4),"SELL","CURRENT")))</f>
        <v/>
      </c>
      <c r="D117" s="19">
        <f>IF(B117="","",$B$7)</f>
        <v/>
      </c>
      <c r="E117" s="20">
        <f>IF(B117="","",B117*$B$7)</f>
        <v/>
      </c>
      <c r="F117" s="20">
        <f>IF(B117="","",MAX($B$8,E117*$B$9))</f>
        <v/>
      </c>
      <c r="G117" s="21">
        <f>IF(B117="","",IF(C117="BUY",$B$7,IF(C117="SELL",-$B$7,0)))</f>
        <v/>
      </c>
      <c r="H117" s="19">
        <f>IF(B117="","",$B$10+$B$7*(ROUND(($B$5-$B$12)/$B$6,0)-(ROW()-25)))</f>
        <v/>
      </c>
      <c r="I117" s="18">
        <f>IF(B117="","",IF((ROUND(($B$5-$B$12)/$B$6,0)-(ROW()-25))&gt;=0,($B$10*$B$5+$B$7*(ROUND(($B$5-$B$12)/$B$6,0)-(ROW()-25))*($B$5-$B$6*((ROUND(($B$5-$B$12)/$B$6,0)-(ROW()-25))+1)/2))/($B$10+$B$7*(ROUND(($B$5-$B$12)/$B$6,0)-(ROW()-25))),$B$5))</f>
        <v/>
      </c>
      <c r="J117" s="20">
        <f>IF(B117="","",H117*B117)</f>
        <v/>
      </c>
      <c r="K117" s="20">
        <f>IF(B117="","",IF(C117="CURRENT","N/A",$B$6*$B$7))</f>
        <v/>
      </c>
      <c r="L117" s="20">
        <f>IF(B117="","",IF(C117="CURRENT","N/A",2*MAX($B$8,E117*$B$9)))</f>
        <v/>
      </c>
      <c r="M117" s="20">
        <f>IF(B117="","",IF(C117="CURRENT","N/A",K117-L117))</f>
        <v/>
      </c>
      <c r="N117" s="20">
        <f>IF(B117="","",N116+IF(ISNUMBER(M117),M117,0))</f>
        <v/>
      </c>
    </row>
    <row r="118" ht="17" customHeight="1">
      <c r="A118" s="17">
        <f>IF(B118="","",ROW()-24)</f>
        <v/>
      </c>
      <c r="B118" s="18">
        <f>IF(ROUND($B$12+(ROW()-25)*$B$6,4)&lt;=$B$11,ROUND($B$12+(ROW()-25)*$B$6,4),"")</f>
        <v/>
      </c>
      <c r="C118" s="17">
        <f>IF(B118="","",IF(ROUND(B118,4)&lt;ROUND($B$5,4),"BUY",IF(ROUND(B118,4)&gt;ROUND($B$5,4),"SELL","CURRENT")))</f>
        <v/>
      </c>
      <c r="D118" s="19">
        <f>IF(B118="","",$B$7)</f>
        <v/>
      </c>
      <c r="E118" s="20">
        <f>IF(B118="","",B118*$B$7)</f>
        <v/>
      </c>
      <c r="F118" s="20">
        <f>IF(B118="","",MAX($B$8,E118*$B$9))</f>
        <v/>
      </c>
      <c r="G118" s="21">
        <f>IF(B118="","",IF(C118="BUY",$B$7,IF(C118="SELL",-$B$7,0)))</f>
        <v/>
      </c>
      <c r="H118" s="19">
        <f>IF(B118="","",$B$10+$B$7*(ROUND(($B$5-$B$12)/$B$6,0)-(ROW()-25)))</f>
        <v/>
      </c>
      <c r="I118" s="18">
        <f>IF(B118="","",IF((ROUND(($B$5-$B$12)/$B$6,0)-(ROW()-25))&gt;=0,($B$10*$B$5+$B$7*(ROUND(($B$5-$B$12)/$B$6,0)-(ROW()-25))*($B$5-$B$6*((ROUND(($B$5-$B$12)/$B$6,0)-(ROW()-25))+1)/2))/($B$10+$B$7*(ROUND(($B$5-$B$12)/$B$6,0)-(ROW()-25))),$B$5))</f>
        <v/>
      </c>
      <c r="J118" s="20">
        <f>IF(B118="","",H118*B118)</f>
        <v/>
      </c>
      <c r="K118" s="20">
        <f>IF(B118="","",IF(C118="CURRENT","N/A",$B$6*$B$7))</f>
        <v/>
      </c>
      <c r="L118" s="20">
        <f>IF(B118="","",IF(C118="CURRENT","N/A",2*MAX($B$8,E118*$B$9)))</f>
        <v/>
      </c>
      <c r="M118" s="20">
        <f>IF(B118="","",IF(C118="CURRENT","N/A",K118-L118))</f>
        <v/>
      </c>
      <c r="N118" s="20">
        <f>IF(B118="","",N117+IF(ISNUMBER(M118),M118,0))</f>
        <v/>
      </c>
    </row>
    <row r="119" ht="17" customHeight="1">
      <c r="A119" s="17">
        <f>IF(B119="","",ROW()-24)</f>
        <v/>
      </c>
      <c r="B119" s="18">
        <f>IF(ROUND($B$12+(ROW()-25)*$B$6,4)&lt;=$B$11,ROUND($B$12+(ROW()-25)*$B$6,4),"")</f>
        <v/>
      </c>
      <c r="C119" s="17">
        <f>IF(B119="","",IF(ROUND(B119,4)&lt;ROUND($B$5,4),"BUY",IF(ROUND(B119,4)&gt;ROUND($B$5,4),"SELL","CURRENT")))</f>
        <v/>
      </c>
      <c r="D119" s="19">
        <f>IF(B119="","",$B$7)</f>
        <v/>
      </c>
      <c r="E119" s="20">
        <f>IF(B119="","",B119*$B$7)</f>
        <v/>
      </c>
      <c r="F119" s="20">
        <f>IF(B119="","",MAX($B$8,E119*$B$9))</f>
        <v/>
      </c>
      <c r="G119" s="21">
        <f>IF(B119="","",IF(C119="BUY",$B$7,IF(C119="SELL",-$B$7,0)))</f>
        <v/>
      </c>
      <c r="H119" s="19">
        <f>IF(B119="","",$B$10+$B$7*(ROUND(($B$5-$B$12)/$B$6,0)-(ROW()-25)))</f>
        <v/>
      </c>
      <c r="I119" s="18">
        <f>IF(B119="","",IF((ROUND(($B$5-$B$12)/$B$6,0)-(ROW()-25))&gt;=0,($B$10*$B$5+$B$7*(ROUND(($B$5-$B$12)/$B$6,0)-(ROW()-25))*($B$5-$B$6*((ROUND(($B$5-$B$12)/$B$6,0)-(ROW()-25))+1)/2))/($B$10+$B$7*(ROUND(($B$5-$B$12)/$B$6,0)-(ROW()-25))),$B$5))</f>
        <v/>
      </c>
      <c r="J119" s="20">
        <f>IF(B119="","",H119*B119)</f>
        <v/>
      </c>
      <c r="K119" s="20">
        <f>IF(B119="","",IF(C119="CURRENT","N/A",$B$6*$B$7))</f>
        <v/>
      </c>
      <c r="L119" s="20">
        <f>IF(B119="","",IF(C119="CURRENT","N/A",2*MAX($B$8,E119*$B$9)))</f>
        <v/>
      </c>
      <c r="M119" s="20">
        <f>IF(B119="","",IF(C119="CURRENT","N/A",K119-L119))</f>
        <v/>
      </c>
      <c r="N119" s="20">
        <f>IF(B119="","",N118+IF(ISNUMBER(M119),M119,0))</f>
        <v/>
      </c>
    </row>
    <row r="120" ht="17" customHeight="1">
      <c r="A120" s="17">
        <f>IF(B120="","",ROW()-24)</f>
        <v/>
      </c>
      <c r="B120" s="18">
        <f>IF(ROUND($B$12+(ROW()-25)*$B$6,4)&lt;=$B$11,ROUND($B$12+(ROW()-25)*$B$6,4),"")</f>
        <v/>
      </c>
      <c r="C120" s="17">
        <f>IF(B120="","",IF(ROUND(B120,4)&lt;ROUND($B$5,4),"BUY",IF(ROUND(B120,4)&gt;ROUND($B$5,4),"SELL","CURRENT")))</f>
        <v/>
      </c>
      <c r="D120" s="19">
        <f>IF(B120="","",$B$7)</f>
        <v/>
      </c>
      <c r="E120" s="20">
        <f>IF(B120="","",B120*$B$7)</f>
        <v/>
      </c>
      <c r="F120" s="20">
        <f>IF(B120="","",MAX($B$8,E120*$B$9))</f>
        <v/>
      </c>
      <c r="G120" s="21">
        <f>IF(B120="","",IF(C120="BUY",$B$7,IF(C120="SELL",-$B$7,0)))</f>
        <v/>
      </c>
      <c r="H120" s="19">
        <f>IF(B120="","",$B$10+$B$7*(ROUND(($B$5-$B$12)/$B$6,0)-(ROW()-25)))</f>
        <v/>
      </c>
      <c r="I120" s="18">
        <f>IF(B120="","",IF((ROUND(($B$5-$B$12)/$B$6,0)-(ROW()-25))&gt;=0,($B$10*$B$5+$B$7*(ROUND(($B$5-$B$12)/$B$6,0)-(ROW()-25))*($B$5-$B$6*((ROUND(($B$5-$B$12)/$B$6,0)-(ROW()-25))+1)/2))/($B$10+$B$7*(ROUND(($B$5-$B$12)/$B$6,0)-(ROW()-25))),$B$5))</f>
        <v/>
      </c>
      <c r="J120" s="20">
        <f>IF(B120="","",H120*B120)</f>
        <v/>
      </c>
      <c r="K120" s="20">
        <f>IF(B120="","",IF(C120="CURRENT","N/A",$B$6*$B$7))</f>
        <v/>
      </c>
      <c r="L120" s="20">
        <f>IF(B120="","",IF(C120="CURRENT","N/A",2*MAX($B$8,E120*$B$9)))</f>
        <v/>
      </c>
      <c r="M120" s="20">
        <f>IF(B120="","",IF(C120="CURRENT","N/A",K120-L120))</f>
        <v/>
      </c>
      <c r="N120" s="20">
        <f>IF(B120="","",N119+IF(ISNUMBER(M120),M120,0))</f>
        <v/>
      </c>
    </row>
    <row r="121" ht="17" customHeight="1">
      <c r="A121" s="17">
        <f>IF(B121="","",ROW()-24)</f>
        <v/>
      </c>
      <c r="B121" s="18">
        <f>IF(ROUND($B$12+(ROW()-25)*$B$6,4)&lt;=$B$11,ROUND($B$12+(ROW()-25)*$B$6,4),"")</f>
        <v/>
      </c>
      <c r="C121" s="17">
        <f>IF(B121="","",IF(ROUND(B121,4)&lt;ROUND($B$5,4),"BUY",IF(ROUND(B121,4)&gt;ROUND($B$5,4),"SELL","CURRENT")))</f>
        <v/>
      </c>
      <c r="D121" s="19">
        <f>IF(B121="","",$B$7)</f>
        <v/>
      </c>
      <c r="E121" s="20">
        <f>IF(B121="","",B121*$B$7)</f>
        <v/>
      </c>
      <c r="F121" s="20">
        <f>IF(B121="","",MAX($B$8,E121*$B$9))</f>
        <v/>
      </c>
      <c r="G121" s="21">
        <f>IF(B121="","",IF(C121="BUY",$B$7,IF(C121="SELL",-$B$7,0)))</f>
        <v/>
      </c>
      <c r="H121" s="19">
        <f>IF(B121="","",$B$10+$B$7*(ROUND(($B$5-$B$12)/$B$6,0)-(ROW()-25)))</f>
        <v/>
      </c>
      <c r="I121" s="18">
        <f>IF(B121="","",IF((ROUND(($B$5-$B$12)/$B$6,0)-(ROW()-25))&gt;=0,($B$10*$B$5+$B$7*(ROUND(($B$5-$B$12)/$B$6,0)-(ROW()-25))*($B$5-$B$6*((ROUND(($B$5-$B$12)/$B$6,0)-(ROW()-25))+1)/2))/($B$10+$B$7*(ROUND(($B$5-$B$12)/$B$6,0)-(ROW()-25))),$B$5))</f>
        <v/>
      </c>
      <c r="J121" s="20">
        <f>IF(B121="","",H121*B121)</f>
        <v/>
      </c>
      <c r="K121" s="20">
        <f>IF(B121="","",IF(C121="CURRENT","N/A",$B$6*$B$7))</f>
        <v/>
      </c>
      <c r="L121" s="20">
        <f>IF(B121="","",IF(C121="CURRENT","N/A",2*MAX($B$8,E121*$B$9)))</f>
        <v/>
      </c>
      <c r="M121" s="20">
        <f>IF(B121="","",IF(C121="CURRENT","N/A",K121-L121))</f>
        <v/>
      </c>
      <c r="N121" s="20">
        <f>IF(B121="","",N120+IF(ISNUMBER(M121),M121,0))</f>
        <v/>
      </c>
    </row>
    <row r="122" ht="17" customHeight="1">
      <c r="A122" s="17">
        <f>IF(B122="","",ROW()-24)</f>
        <v/>
      </c>
      <c r="B122" s="18">
        <f>IF(ROUND($B$12+(ROW()-25)*$B$6,4)&lt;=$B$11,ROUND($B$12+(ROW()-25)*$B$6,4),"")</f>
        <v/>
      </c>
      <c r="C122" s="17">
        <f>IF(B122="","",IF(ROUND(B122,4)&lt;ROUND($B$5,4),"BUY",IF(ROUND(B122,4)&gt;ROUND($B$5,4),"SELL","CURRENT")))</f>
        <v/>
      </c>
      <c r="D122" s="19">
        <f>IF(B122="","",$B$7)</f>
        <v/>
      </c>
      <c r="E122" s="20">
        <f>IF(B122="","",B122*$B$7)</f>
        <v/>
      </c>
      <c r="F122" s="20">
        <f>IF(B122="","",MAX($B$8,E122*$B$9))</f>
        <v/>
      </c>
      <c r="G122" s="21">
        <f>IF(B122="","",IF(C122="BUY",$B$7,IF(C122="SELL",-$B$7,0)))</f>
        <v/>
      </c>
      <c r="H122" s="19">
        <f>IF(B122="","",$B$10+$B$7*(ROUND(($B$5-$B$12)/$B$6,0)-(ROW()-25)))</f>
        <v/>
      </c>
      <c r="I122" s="18">
        <f>IF(B122="","",IF((ROUND(($B$5-$B$12)/$B$6,0)-(ROW()-25))&gt;=0,($B$10*$B$5+$B$7*(ROUND(($B$5-$B$12)/$B$6,0)-(ROW()-25))*($B$5-$B$6*((ROUND(($B$5-$B$12)/$B$6,0)-(ROW()-25))+1)/2))/($B$10+$B$7*(ROUND(($B$5-$B$12)/$B$6,0)-(ROW()-25))),$B$5))</f>
        <v/>
      </c>
      <c r="J122" s="20">
        <f>IF(B122="","",H122*B122)</f>
        <v/>
      </c>
      <c r="K122" s="20">
        <f>IF(B122="","",IF(C122="CURRENT","N/A",$B$6*$B$7))</f>
        <v/>
      </c>
      <c r="L122" s="20">
        <f>IF(B122="","",IF(C122="CURRENT","N/A",2*MAX($B$8,E122*$B$9)))</f>
        <v/>
      </c>
      <c r="M122" s="20">
        <f>IF(B122="","",IF(C122="CURRENT","N/A",K122-L122))</f>
        <v/>
      </c>
      <c r="N122" s="20">
        <f>IF(B122="","",N121+IF(ISNUMBER(M122),M122,0))</f>
        <v/>
      </c>
    </row>
    <row r="123" ht="17" customHeight="1">
      <c r="A123" s="17">
        <f>IF(B123="","",ROW()-24)</f>
        <v/>
      </c>
      <c r="B123" s="18">
        <f>IF(ROUND($B$12+(ROW()-25)*$B$6,4)&lt;=$B$11,ROUND($B$12+(ROW()-25)*$B$6,4),"")</f>
        <v/>
      </c>
      <c r="C123" s="17">
        <f>IF(B123="","",IF(ROUND(B123,4)&lt;ROUND($B$5,4),"BUY",IF(ROUND(B123,4)&gt;ROUND($B$5,4),"SELL","CURRENT")))</f>
        <v/>
      </c>
      <c r="D123" s="19">
        <f>IF(B123="","",$B$7)</f>
        <v/>
      </c>
      <c r="E123" s="20">
        <f>IF(B123="","",B123*$B$7)</f>
        <v/>
      </c>
      <c r="F123" s="20">
        <f>IF(B123="","",MAX($B$8,E123*$B$9))</f>
        <v/>
      </c>
      <c r="G123" s="21">
        <f>IF(B123="","",IF(C123="BUY",$B$7,IF(C123="SELL",-$B$7,0)))</f>
        <v/>
      </c>
      <c r="H123" s="19">
        <f>IF(B123="","",$B$10+$B$7*(ROUND(($B$5-$B$12)/$B$6,0)-(ROW()-25)))</f>
        <v/>
      </c>
      <c r="I123" s="18">
        <f>IF(B123="","",IF((ROUND(($B$5-$B$12)/$B$6,0)-(ROW()-25))&gt;=0,($B$10*$B$5+$B$7*(ROUND(($B$5-$B$12)/$B$6,0)-(ROW()-25))*($B$5-$B$6*((ROUND(($B$5-$B$12)/$B$6,0)-(ROW()-25))+1)/2))/($B$10+$B$7*(ROUND(($B$5-$B$12)/$B$6,0)-(ROW()-25))),$B$5))</f>
        <v/>
      </c>
      <c r="J123" s="20">
        <f>IF(B123="","",H123*B123)</f>
        <v/>
      </c>
      <c r="K123" s="20">
        <f>IF(B123="","",IF(C123="CURRENT","N/A",$B$6*$B$7))</f>
        <v/>
      </c>
      <c r="L123" s="20">
        <f>IF(B123="","",IF(C123="CURRENT","N/A",2*MAX($B$8,E123*$B$9)))</f>
        <v/>
      </c>
      <c r="M123" s="20">
        <f>IF(B123="","",IF(C123="CURRENT","N/A",K123-L123))</f>
        <v/>
      </c>
      <c r="N123" s="20">
        <f>IF(B123="","",N122+IF(ISNUMBER(M123),M123,0))</f>
        <v/>
      </c>
    </row>
    <row r="124" ht="17" customHeight="1">
      <c r="A124" s="17">
        <f>IF(B124="","",ROW()-24)</f>
        <v/>
      </c>
      <c r="B124" s="18">
        <f>IF(ROUND($B$12+(ROW()-25)*$B$6,4)&lt;=$B$11,ROUND($B$12+(ROW()-25)*$B$6,4),"")</f>
        <v/>
      </c>
      <c r="C124" s="17">
        <f>IF(B124="","",IF(ROUND(B124,4)&lt;ROUND($B$5,4),"BUY",IF(ROUND(B124,4)&gt;ROUND($B$5,4),"SELL","CURRENT")))</f>
        <v/>
      </c>
      <c r="D124" s="19">
        <f>IF(B124="","",$B$7)</f>
        <v/>
      </c>
      <c r="E124" s="20">
        <f>IF(B124="","",B124*$B$7)</f>
        <v/>
      </c>
      <c r="F124" s="20">
        <f>IF(B124="","",MAX($B$8,E124*$B$9))</f>
        <v/>
      </c>
      <c r="G124" s="21">
        <f>IF(B124="","",IF(C124="BUY",$B$7,IF(C124="SELL",-$B$7,0)))</f>
        <v/>
      </c>
      <c r="H124" s="19">
        <f>IF(B124="","",$B$10+$B$7*(ROUND(($B$5-$B$12)/$B$6,0)-(ROW()-25)))</f>
        <v/>
      </c>
      <c r="I124" s="18">
        <f>IF(B124="","",IF((ROUND(($B$5-$B$12)/$B$6,0)-(ROW()-25))&gt;=0,($B$10*$B$5+$B$7*(ROUND(($B$5-$B$12)/$B$6,0)-(ROW()-25))*($B$5-$B$6*((ROUND(($B$5-$B$12)/$B$6,0)-(ROW()-25))+1)/2))/($B$10+$B$7*(ROUND(($B$5-$B$12)/$B$6,0)-(ROW()-25))),$B$5))</f>
        <v/>
      </c>
      <c r="J124" s="20">
        <f>IF(B124="","",H124*B124)</f>
        <v/>
      </c>
      <c r="K124" s="20">
        <f>IF(B124="","",IF(C124="CURRENT","N/A",$B$6*$B$7))</f>
        <v/>
      </c>
      <c r="L124" s="20">
        <f>IF(B124="","",IF(C124="CURRENT","N/A",2*MAX($B$8,E124*$B$9)))</f>
        <v/>
      </c>
      <c r="M124" s="20">
        <f>IF(B124="","",IF(C124="CURRENT","N/A",K124-L124))</f>
        <v/>
      </c>
      <c r="N124" s="20">
        <f>IF(B124="","",N123+IF(ISNUMBER(M124),M124,0))</f>
        <v/>
      </c>
    </row>
  </sheetData>
  <mergeCells count="12">
    <mergeCell ref="A23:N23"/>
    <mergeCell ref="A3:N3"/>
    <mergeCell ref="A2:N2"/>
    <mergeCell ref="B17:N17"/>
    <mergeCell ref="A15:N15"/>
    <mergeCell ref="B18:N18"/>
    <mergeCell ref="B19:N19"/>
    <mergeCell ref="B21:N21"/>
    <mergeCell ref="B20:N20"/>
    <mergeCell ref="B16:N16"/>
    <mergeCell ref="A14:N14"/>
    <mergeCell ref="A1:N1"/>
  </mergeCells>
  <conditionalFormatting sqref="A25:N124">
    <cfRule type="expression" priority="1" dxfId="0">
      <formula>$C25="CURRENT"</formula>
    </cfRule>
    <cfRule type="expression" priority="2" dxfId="1">
      <formula>AND(ISNUMBER($M25),$M25&lt;=0)</formula>
    </cfRule>
  </conditionalFormatting>
  <conditionalFormatting sqref="H25:H124">
    <cfRule type="expression" priority="3" dxfId="2">
      <formula>AND(ISNUMBER(H25),H25&lt;0)</formula>
    </cfRule>
  </conditionalFormatting>
  <conditionalFormatting sqref="C25:C124">
    <cfRule type="expression" priority="4" dxfId="3">
      <formula>$C25="BUY"</formula>
    </cfRule>
    <cfRule type="expression" priority="5" dxfId="4">
      <formula>$C25="SELL"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2026-04-12T13:03:24Z</dcterms:created>
  <dcterms:modified xmlns:dcterms="http://purl.org/dc/terms/" xmlns:xsi="http://www.w3.org/2001/XMLSchema-instance" xsi:type="dcterms:W3CDTF">2026-04-12T13:03:24Z</dcterms:modified>
</cp:coreProperties>
</file>