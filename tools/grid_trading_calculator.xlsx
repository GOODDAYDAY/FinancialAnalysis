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网格计算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0"/>
    <numFmt numFmtId="165" formatCode="0.0000%"/>
    <numFmt numFmtId="166" formatCode="+#,##0.00;-#,##0.00;0.00"/>
  </numFmts>
  <fonts count="9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  <sz val="10"/>
    </font>
    <font>
      <b val="1"/>
      <color rgb="00000000"/>
      <sz val="11"/>
    </font>
    <font>
      <b val="1"/>
      <color rgb="00000000"/>
      <sz val="9"/>
    </font>
    <font>
      <b val="1"/>
      <color rgb="00000000"/>
      <sz val="10"/>
    </font>
    <font>
      <i val="1"/>
      <color rgb="00888888"/>
      <sz val="8"/>
    </font>
    <font>
      <b val="1"/>
      <color rgb="001F4E79"/>
      <sz val="9"/>
    </font>
    <font>
      <color rgb="000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ACD"/>
      </patternFill>
    </fill>
    <fill>
      <patternFill patternType="solid">
        <fgColor rgb="00D6E4F0"/>
      </patternFill>
    </fill>
    <fill>
      <patternFill patternType="solid">
        <fgColor rgb="00EEF2F7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5" borderId="1" applyAlignment="1" pivotButton="0" quotePrefix="0" xfId="0">
      <alignment horizontal="right" vertical="center"/>
    </xf>
    <xf numFmtId="3" fontId="8" fillId="5" borderId="1" applyAlignment="1" pivotButton="0" quotePrefix="0" xfId="0">
      <alignment horizontal="left" vertical="center"/>
    </xf>
    <xf numFmtId="4" fontId="8" fillId="5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7">
    <dxf>
      <fill>
        <patternFill patternType="solid">
          <fgColor rgb="00FFFF00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FF6B6B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b val="1"/>
        <color rgb="00375623"/>
      </font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>
        <f>"网格交易计算器  ·  "&amp;$K$6</f>
        <v/>
      </c>
      <c r="J1" s="2" t="inlineStr">
        <is>
          <t>标的名称</t>
        </is>
      </c>
      <c r="K1" s="3" t="inlineStr">
        <is>
          <t>泰达股份</t>
        </is>
      </c>
    </row>
    <row r="2" ht="21" customHeight="1">
      <c r="A2" s="4" t="inlineStr">
        <is>
          <t>当前价格  Current Price  (元)</t>
        </is>
      </c>
      <c r="E2" s="5" t="n">
        <v>4.1</v>
      </c>
      <c r="G2" s="4" t="inlineStr">
        <is>
          <t>比例费率  Fee Rate  (如万分之一=0.0001)</t>
        </is>
      </c>
      <c r="K2" s="6" t="n">
        <v>0.0001</v>
      </c>
    </row>
    <row r="3" ht="21" customHeight="1">
      <c r="A3" s="4" t="inlineStr">
        <is>
          <t>网格间距  Grid Interval  (元)</t>
        </is>
      </c>
      <c r="E3" s="5" t="n">
        <v>0.2</v>
      </c>
      <c r="G3" s="4" t="inlineStr">
        <is>
          <t>初始持仓  Initial Shares  (股)</t>
        </is>
      </c>
      <c r="K3" s="7" t="n">
        <v>5000</v>
      </c>
    </row>
    <row r="4" ht="21" customHeight="1">
      <c r="A4" s="4" t="inlineStr">
        <is>
          <t>每格股数  Shares per Grid  (股)</t>
        </is>
      </c>
      <c r="E4" s="7" t="n">
        <v>1000</v>
      </c>
      <c r="G4" s="4" t="inlineStr">
        <is>
          <t>网格上限  Upper Limit  (元)</t>
        </is>
      </c>
      <c r="K4" s="5" t="n">
        <v>5</v>
      </c>
    </row>
    <row r="5" ht="21" customHeight="1">
      <c r="A5" s="4" t="inlineStr">
        <is>
          <t>固定手续费  Fixed Fee  (元/笔)</t>
        </is>
      </c>
      <c r="E5" s="8" t="n">
        <v>10</v>
      </c>
      <c r="G5" s="4" t="inlineStr">
        <is>
          <t>初始资金  Initial Capital  (元)</t>
        </is>
      </c>
      <c r="K5" s="7" t="n">
        <v>50000</v>
      </c>
    </row>
    <row r="6" ht="21" customHeight="1">
      <c r="A6" s="4" t="inlineStr">
        <is>
          <t>网格下限  Lower Limit  (元)</t>
        </is>
      </c>
      <c r="E6" s="5" t="n">
        <v>3.5</v>
      </c>
      <c r="G6" s="9" t="inlineStr">
        <is>
          <t>← 修改黄色格，表格自动更新  |  Edit yellow cells to recalculate</t>
        </is>
      </c>
    </row>
    <row r="7" ht="22" customHeight="1">
      <c r="A7" s="10" t="inlineStr">
        <is>
          <t>总格数</t>
        </is>
      </c>
      <c r="B7" s="11">
        <f>SUMPRODUCT((B9:B28&lt;&gt;"")*1)</f>
        <v/>
      </c>
      <c r="C7" s="10" t="inlineStr">
        <is>
          <t>净利/格</t>
        </is>
      </c>
      <c r="D7" s="12">
        <f>$E$3*$E$4-2*MAX($E$5,$E$2*$E$4*$K$2)</f>
        <v/>
      </c>
      <c r="E7" s="10" t="inlineStr">
        <is>
          <t>最低资金</t>
        </is>
      </c>
      <c r="F7" s="11">
        <f>$E$6*$E$4*COUNTIF(C9:C28,"BUY")</f>
        <v/>
      </c>
      <c r="H7" s="10" t="inlineStr">
        <is>
          <t>资金充足</t>
        </is>
      </c>
      <c r="I7" s="13">
        <f>IF($K$5&gt;=F7,"✓ 充裕  余额 "&amp;TEXT($K$5-F7,"#,##0")&amp;" 元","✗ 不足  缺口 "&amp;TEXT(F7-$K$5,"#,##0")&amp;" 元")</f>
        <v/>
      </c>
      <c r="K7" s="10" t="inlineStr">
        <is>
          <t>盈亏平衡</t>
        </is>
      </c>
      <c r="L7" s="13">
        <f>IF(D7&lt;=0,"净利为负",TEXT(CEILING(SUMIF(B9:B28,"&lt;&gt;",E9:E28)*2/D7,1),"0")&amp;"次振荡")</f>
        <v/>
      </c>
    </row>
    <row r="8" ht="44" customHeight="1">
      <c r="A8" s="14" t="inlineStr">
        <is>
          <t>序号
No.</t>
        </is>
      </c>
      <c r="B8" s="14" t="inlineStr">
        <is>
          <t>网格价格
Price (元)</t>
        </is>
      </c>
      <c r="C8" s="14" t="inlineStr">
        <is>
          <t>操作
Action</t>
        </is>
      </c>
      <c r="D8" s="14" t="inlineStr">
        <is>
          <t>成交金额
Amount (元)</t>
        </is>
      </c>
      <c r="E8" s="14" t="inlineStr">
        <is>
          <t>手续费
Comm.(元)</t>
        </is>
      </c>
      <c r="F8" s="14" t="inlineStr">
        <is>
          <t>净利/格
Net P&amp;L(元)</t>
        </is>
      </c>
      <c r="G8" s="14" t="inlineStr">
        <is>
          <t>累计持仓
Cum.Shares</t>
        </is>
      </c>
      <c r="H8" s="14" t="inlineStr">
        <is>
          <t>持仓均价
Avg Cost(元)</t>
        </is>
      </c>
      <c r="I8" s="14" t="inlineStr">
        <is>
          <t>持仓市值
Mkt Val(元)</t>
        </is>
      </c>
      <c r="J8" s="14" t="inlineStr">
        <is>
          <t>资金余额
Cash(元)</t>
        </is>
      </c>
      <c r="K8" s="14" t="inlineStr">
        <is>
          <t>总资产
Total Val(元)</t>
        </is>
      </c>
      <c r="L8" s="14" t="inlineStr">
        <is>
          <t>总盈亏
P&amp;L(元)</t>
        </is>
      </c>
    </row>
    <row r="9" ht="18" customHeight="1">
      <c r="A9" s="15">
        <f>IF(B9="","",ROW()-8)</f>
        <v/>
      </c>
      <c r="B9" s="16">
        <f>IF(ROUND($E$6+(ROW()-9)*$E$3,4)&lt;=$K$4,ROUND($E$6+(ROW()-9)*$E$3,4),"")</f>
        <v/>
      </c>
      <c r="C9" s="15">
        <f>IF(B9="","",IF(ROUND(B9,4)&lt;ROUND($E$2,4),"BUY",IF(ROUND(B9,4)&gt;ROUND($E$2,4),"SELL","CURRENT")))</f>
        <v/>
      </c>
      <c r="D9" s="17">
        <f>IF(B9="","",B9*$E$4)</f>
        <v/>
      </c>
      <c r="E9" s="17">
        <f>IF(B9="","",MAX($E$5,D9*$K$2))</f>
        <v/>
      </c>
      <c r="F9" s="17">
        <f>IF(B9="","",IF(C9="CURRENT","N/A",$E$3*$E$4-2*MAX($E$5,D9*$K$2)))</f>
        <v/>
      </c>
      <c r="G9" s="18">
        <f>IF(B9="","",$K$3+$E$4*(ROUND(($E$2-$E$6)/$E$3,0)-(ROW()-9)))</f>
        <v/>
      </c>
      <c r="H9" s="16">
        <f>IF(B9="","",IF((ROUND(($E$2-$E$6)/$E$3,0)-(ROW()-9))&gt;=0,($K$3*$E$2+$E$4*(ROUND(($E$2-$E$6)/$E$3,0)-(ROW()-9))*($E$2-$E$3*((ROUND(($E$2-$E$6)/$E$3,0)-(ROW()-9))+1)/2))/($K$3+$E$4*(ROUND(($E$2-$E$6)/$E$3,0)-(ROW()-9))),$E$2))</f>
        <v/>
      </c>
      <c r="I9" s="17">
        <f>IF(B9="","",G9*B9)</f>
        <v/>
      </c>
      <c r="J9" s="17">
        <f>IF(B9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9" s="17">
        <f>IF(B9="","",J9+I9)</f>
        <v/>
      </c>
      <c r="L9" s="19">
        <f>IF(B9="","",K9-($K$3*$E$2+$K$5))</f>
        <v/>
      </c>
    </row>
    <row r="10" ht="18" customHeight="1">
      <c r="A10" s="15">
        <f>IF(B10="","",ROW()-8)</f>
        <v/>
      </c>
      <c r="B10" s="16">
        <f>IF(ROUND($E$6+(ROW()-9)*$E$3,4)&lt;=$K$4,ROUND($E$6+(ROW()-9)*$E$3,4),"")</f>
        <v/>
      </c>
      <c r="C10" s="15">
        <f>IF(B10="","",IF(ROUND(B10,4)&lt;ROUND($E$2,4),"BUY",IF(ROUND(B10,4)&gt;ROUND($E$2,4),"SELL","CURRENT")))</f>
        <v/>
      </c>
      <c r="D10" s="17">
        <f>IF(B10="","",B10*$E$4)</f>
        <v/>
      </c>
      <c r="E10" s="17">
        <f>IF(B10="","",MAX($E$5,D10*$K$2))</f>
        <v/>
      </c>
      <c r="F10" s="17">
        <f>IF(B10="","",IF(C10="CURRENT","N/A",$E$3*$E$4-2*MAX($E$5,D10*$K$2)))</f>
        <v/>
      </c>
      <c r="G10" s="18">
        <f>IF(B10="","",$K$3+$E$4*(ROUND(($E$2-$E$6)/$E$3,0)-(ROW()-9)))</f>
        <v/>
      </c>
      <c r="H10" s="16">
        <f>IF(B10="","",IF((ROUND(($E$2-$E$6)/$E$3,0)-(ROW()-9))&gt;=0,($K$3*$E$2+$E$4*(ROUND(($E$2-$E$6)/$E$3,0)-(ROW()-9))*($E$2-$E$3*((ROUND(($E$2-$E$6)/$E$3,0)-(ROW()-9))+1)/2))/($K$3+$E$4*(ROUND(($E$2-$E$6)/$E$3,0)-(ROW()-9))),$E$2))</f>
        <v/>
      </c>
      <c r="I10" s="17">
        <f>IF(B10="","",G10*B10)</f>
        <v/>
      </c>
      <c r="J10" s="17">
        <f>IF(B10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0" s="17">
        <f>IF(B10="","",J10+I10)</f>
        <v/>
      </c>
      <c r="L10" s="19">
        <f>IF(B10="","",K10-($K$3*$E$2+$K$5))</f>
        <v/>
      </c>
    </row>
    <row r="11" ht="18" customHeight="1">
      <c r="A11" s="15">
        <f>IF(B11="","",ROW()-8)</f>
        <v/>
      </c>
      <c r="B11" s="16">
        <f>IF(ROUND($E$6+(ROW()-9)*$E$3,4)&lt;=$K$4,ROUND($E$6+(ROW()-9)*$E$3,4),"")</f>
        <v/>
      </c>
      <c r="C11" s="15">
        <f>IF(B11="","",IF(ROUND(B11,4)&lt;ROUND($E$2,4),"BUY",IF(ROUND(B11,4)&gt;ROUND($E$2,4),"SELL","CURRENT")))</f>
        <v/>
      </c>
      <c r="D11" s="17">
        <f>IF(B11="","",B11*$E$4)</f>
        <v/>
      </c>
      <c r="E11" s="17">
        <f>IF(B11="","",MAX($E$5,D11*$K$2))</f>
        <v/>
      </c>
      <c r="F11" s="17">
        <f>IF(B11="","",IF(C11="CURRENT","N/A",$E$3*$E$4-2*MAX($E$5,D11*$K$2)))</f>
        <v/>
      </c>
      <c r="G11" s="18">
        <f>IF(B11="","",$K$3+$E$4*(ROUND(($E$2-$E$6)/$E$3,0)-(ROW()-9)))</f>
        <v/>
      </c>
      <c r="H11" s="16">
        <f>IF(B11="","",IF((ROUND(($E$2-$E$6)/$E$3,0)-(ROW()-9))&gt;=0,($K$3*$E$2+$E$4*(ROUND(($E$2-$E$6)/$E$3,0)-(ROW()-9))*($E$2-$E$3*((ROUND(($E$2-$E$6)/$E$3,0)-(ROW()-9))+1)/2))/($K$3+$E$4*(ROUND(($E$2-$E$6)/$E$3,0)-(ROW()-9))),$E$2))</f>
        <v/>
      </c>
      <c r="I11" s="17">
        <f>IF(B11="","",G11*B11)</f>
        <v/>
      </c>
      <c r="J11" s="17">
        <f>IF(B11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1" s="17">
        <f>IF(B11="","",J11+I11)</f>
        <v/>
      </c>
      <c r="L11" s="19">
        <f>IF(B11="","",K11-($K$3*$E$2+$K$5))</f>
        <v/>
      </c>
    </row>
    <row r="12" ht="18" customHeight="1">
      <c r="A12" s="15">
        <f>IF(B12="","",ROW()-8)</f>
        <v/>
      </c>
      <c r="B12" s="16">
        <f>IF(ROUND($E$6+(ROW()-9)*$E$3,4)&lt;=$K$4,ROUND($E$6+(ROW()-9)*$E$3,4),"")</f>
        <v/>
      </c>
      <c r="C12" s="15">
        <f>IF(B12="","",IF(ROUND(B12,4)&lt;ROUND($E$2,4),"BUY",IF(ROUND(B12,4)&gt;ROUND($E$2,4),"SELL","CURRENT")))</f>
        <v/>
      </c>
      <c r="D12" s="17">
        <f>IF(B12="","",B12*$E$4)</f>
        <v/>
      </c>
      <c r="E12" s="17">
        <f>IF(B12="","",MAX($E$5,D12*$K$2))</f>
        <v/>
      </c>
      <c r="F12" s="17">
        <f>IF(B12="","",IF(C12="CURRENT","N/A",$E$3*$E$4-2*MAX($E$5,D12*$K$2)))</f>
        <v/>
      </c>
      <c r="G12" s="18">
        <f>IF(B12="","",$K$3+$E$4*(ROUND(($E$2-$E$6)/$E$3,0)-(ROW()-9)))</f>
        <v/>
      </c>
      <c r="H12" s="16">
        <f>IF(B12="","",IF((ROUND(($E$2-$E$6)/$E$3,0)-(ROW()-9))&gt;=0,($K$3*$E$2+$E$4*(ROUND(($E$2-$E$6)/$E$3,0)-(ROW()-9))*($E$2-$E$3*((ROUND(($E$2-$E$6)/$E$3,0)-(ROW()-9))+1)/2))/($K$3+$E$4*(ROUND(($E$2-$E$6)/$E$3,0)-(ROW()-9))),$E$2))</f>
        <v/>
      </c>
      <c r="I12" s="17">
        <f>IF(B12="","",G12*B12)</f>
        <v/>
      </c>
      <c r="J12" s="17">
        <f>IF(B12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2" s="17">
        <f>IF(B12="","",J12+I12)</f>
        <v/>
      </c>
      <c r="L12" s="19">
        <f>IF(B12="","",K12-($K$3*$E$2+$K$5))</f>
        <v/>
      </c>
    </row>
    <row r="13" ht="18" customHeight="1">
      <c r="A13" s="15">
        <f>IF(B13="","",ROW()-8)</f>
        <v/>
      </c>
      <c r="B13" s="16">
        <f>IF(ROUND($E$6+(ROW()-9)*$E$3,4)&lt;=$K$4,ROUND($E$6+(ROW()-9)*$E$3,4),"")</f>
        <v/>
      </c>
      <c r="C13" s="15">
        <f>IF(B13="","",IF(ROUND(B13,4)&lt;ROUND($E$2,4),"BUY",IF(ROUND(B13,4)&gt;ROUND($E$2,4),"SELL","CURRENT")))</f>
        <v/>
      </c>
      <c r="D13" s="17">
        <f>IF(B13="","",B13*$E$4)</f>
        <v/>
      </c>
      <c r="E13" s="17">
        <f>IF(B13="","",MAX($E$5,D13*$K$2))</f>
        <v/>
      </c>
      <c r="F13" s="17">
        <f>IF(B13="","",IF(C13="CURRENT","N/A",$E$3*$E$4-2*MAX($E$5,D13*$K$2)))</f>
        <v/>
      </c>
      <c r="G13" s="18">
        <f>IF(B13="","",$K$3+$E$4*(ROUND(($E$2-$E$6)/$E$3,0)-(ROW()-9)))</f>
        <v/>
      </c>
      <c r="H13" s="16">
        <f>IF(B13="","",IF((ROUND(($E$2-$E$6)/$E$3,0)-(ROW()-9))&gt;=0,($K$3*$E$2+$E$4*(ROUND(($E$2-$E$6)/$E$3,0)-(ROW()-9))*($E$2-$E$3*((ROUND(($E$2-$E$6)/$E$3,0)-(ROW()-9))+1)/2))/($K$3+$E$4*(ROUND(($E$2-$E$6)/$E$3,0)-(ROW()-9))),$E$2))</f>
        <v/>
      </c>
      <c r="I13" s="17">
        <f>IF(B13="","",G13*B13)</f>
        <v/>
      </c>
      <c r="J13" s="17">
        <f>IF(B13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3" s="17">
        <f>IF(B13="","",J13+I13)</f>
        <v/>
      </c>
      <c r="L13" s="19">
        <f>IF(B13="","",K13-($K$3*$E$2+$K$5))</f>
        <v/>
      </c>
    </row>
    <row r="14" ht="18" customHeight="1">
      <c r="A14" s="15">
        <f>IF(B14="","",ROW()-8)</f>
        <v/>
      </c>
      <c r="B14" s="16">
        <f>IF(ROUND($E$6+(ROW()-9)*$E$3,4)&lt;=$K$4,ROUND($E$6+(ROW()-9)*$E$3,4),"")</f>
        <v/>
      </c>
      <c r="C14" s="15">
        <f>IF(B14="","",IF(ROUND(B14,4)&lt;ROUND($E$2,4),"BUY",IF(ROUND(B14,4)&gt;ROUND($E$2,4),"SELL","CURRENT")))</f>
        <v/>
      </c>
      <c r="D14" s="17">
        <f>IF(B14="","",B14*$E$4)</f>
        <v/>
      </c>
      <c r="E14" s="17">
        <f>IF(B14="","",MAX($E$5,D14*$K$2))</f>
        <v/>
      </c>
      <c r="F14" s="17">
        <f>IF(B14="","",IF(C14="CURRENT","N/A",$E$3*$E$4-2*MAX($E$5,D14*$K$2)))</f>
        <v/>
      </c>
      <c r="G14" s="18">
        <f>IF(B14="","",$K$3+$E$4*(ROUND(($E$2-$E$6)/$E$3,0)-(ROW()-9)))</f>
        <v/>
      </c>
      <c r="H14" s="16">
        <f>IF(B14="","",IF((ROUND(($E$2-$E$6)/$E$3,0)-(ROW()-9))&gt;=0,($K$3*$E$2+$E$4*(ROUND(($E$2-$E$6)/$E$3,0)-(ROW()-9))*($E$2-$E$3*((ROUND(($E$2-$E$6)/$E$3,0)-(ROW()-9))+1)/2))/($K$3+$E$4*(ROUND(($E$2-$E$6)/$E$3,0)-(ROW()-9))),$E$2))</f>
        <v/>
      </c>
      <c r="I14" s="17">
        <f>IF(B14="","",G14*B14)</f>
        <v/>
      </c>
      <c r="J14" s="17">
        <f>IF(B14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4" s="17">
        <f>IF(B14="","",J14+I14)</f>
        <v/>
      </c>
      <c r="L14" s="19">
        <f>IF(B14="","",K14-($K$3*$E$2+$K$5))</f>
        <v/>
      </c>
    </row>
    <row r="15" ht="18" customHeight="1">
      <c r="A15" s="15">
        <f>IF(B15="","",ROW()-8)</f>
        <v/>
      </c>
      <c r="B15" s="16">
        <f>IF(ROUND($E$6+(ROW()-9)*$E$3,4)&lt;=$K$4,ROUND($E$6+(ROW()-9)*$E$3,4),"")</f>
        <v/>
      </c>
      <c r="C15" s="15">
        <f>IF(B15="","",IF(ROUND(B15,4)&lt;ROUND($E$2,4),"BUY",IF(ROUND(B15,4)&gt;ROUND($E$2,4),"SELL","CURRENT")))</f>
        <v/>
      </c>
      <c r="D15" s="17">
        <f>IF(B15="","",B15*$E$4)</f>
        <v/>
      </c>
      <c r="E15" s="17">
        <f>IF(B15="","",MAX($E$5,D15*$K$2))</f>
        <v/>
      </c>
      <c r="F15" s="17">
        <f>IF(B15="","",IF(C15="CURRENT","N/A",$E$3*$E$4-2*MAX($E$5,D15*$K$2)))</f>
        <v/>
      </c>
      <c r="G15" s="18">
        <f>IF(B15="","",$K$3+$E$4*(ROUND(($E$2-$E$6)/$E$3,0)-(ROW()-9)))</f>
        <v/>
      </c>
      <c r="H15" s="16">
        <f>IF(B15="","",IF((ROUND(($E$2-$E$6)/$E$3,0)-(ROW()-9))&gt;=0,($K$3*$E$2+$E$4*(ROUND(($E$2-$E$6)/$E$3,0)-(ROW()-9))*($E$2-$E$3*((ROUND(($E$2-$E$6)/$E$3,0)-(ROW()-9))+1)/2))/($K$3+$E$4*(ROUND(($E$2-$E$6)/$E$3,0)-(ROW()-9))),$E$2))</f>
        <v/>
      </c>
      <c r="I15" s="17">
        <f>IF(B15="","",G15*B15)</f>
        <v/>
      </c>
      <c r="J15" s="17">
        <f>IF(B15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5" s="17">
        <f>IF(B15="","",J15+I15)</f>
        <v/>
      </c>
      <c r="L15" s="19">
        <f>IF(B15="","",K15-($K$3*$E$2+$K$5))</f>
        <v/>
      </c>
    </row>
    <row r="16" ht="18" customHeight="1">
      <c r="A16" s="15">
        <f>IF(B16="","",ROW()-8)</f>
        <v/>
      </c>
      <c r="B16" s="16">
        <f>IF(ROUND($E$6+(ROW()-9)*$E$3,4)&lt;=$K$4,ROUND($E$6+(ROW()-9)*$E$3,4),"")</f>
        <v/>
      </c>
      <c r="C16" s="15">
        <f>IF(B16="","",IF(ROUND(B16,4)&lt;ROUND($E$2,4),"BUY",IF(ROUND(B16,4)&gt;ROUND($E$2,4),"SELL","CURRENT")))</f>
        <v/>
      </c>
      <c r="D16" s="17">
        <f>IF(B16="","",B16*$E$4)</f>
        <v/>
      </c>
      <c r="E16" s="17">
        <f>IF(B16="","",MAX($E$5,D16*$K$2))</f>
        <v/>
      </c>
      <c r="F16" s="17">
        <f>IF(B16="","",IF(C16="CURRENT","N/A",$E$3*$E$4-2*MAX($E$5,D16*$K$2)))</f>
        <v/>
      </c>
      <c r="G16" s="18">
        <f>IF(B16="","",$K$3+$E$4*(ROUND(($E$2-$E$6)/$E$3,0)-(ROW()-9)))</f>
        <v/>
      </c>
      <c r="H16" s="16">
        <f>IF(B16="","",IF((ROUND(($E$2-$E$6)/$E$3,0)-(ROW()-9))&gt;=0,($K$3*$E$2+$E$4*(ROUND(($E$2-$E$6)/$E$3,0)-(ROW()-9))*($E$2-$E$3*((ROUND(($E$2-$E$6)/$E$3,0)-(ROW()-9))+1)/2))/($K$3+$E$4*(ROUND(($E$2-$E$6)/$E$3,0)-(ROW()-9))),$E$2))</f>
        <v/>
      </c>
      <c r="I16" s="17">
        <f>IF(B16="","",G16*B16)</f>
        <v/>
      </c>
      <c r="J16" s="17">
        <f>IF(B16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6" s="17">
        <f>IF(B16="","",J16+I16)</f>
        <v/>
      </c>
      <c r="L16" s="19">
        <f>IF(B16="","",K16-($K$3*$E$2+$K$5))</f>
        <v/>
      </c>
    </row>
    <row r="17" ht="18" customHeight="1">
      <c r="A17" s="15">
        <f>IF(B17="","",ROW()-8)</f>
        <v/>
      </c>
      <c r="B17" s="16">
        <f>IF(ROUND($E$6+(ROW()-9)*$E$3,4)&lt;=$K$4,ROUND($E$6+(ROW()-9)*$E$3,4),"")</f>
        <v/>
      </c>
      <c r="C17" s="15">
        <f>IF(B17="","",IF(ROUND(B17,4)&lt;ROUND($E$2,4),"BUY",IF(ROUND(B17,4)&gt;ROUND($E$2,4),"SELL","CURRENT")))</f>
        <v/>
      </c>
      <c r="D17" s="17">
        <f>IF(B17="","",B17*$E$4)</f>
        <v/>
      </c>
      <c r="E17" s="17">
        <f>IF(B17="","",MAX($E$5,D17*$K$2))</f>
        <v/>
      </c>
      <c r="F17" s="17">
        <f>IF(B17="","",IF(C17="CURRENT","N/A",$E$3*$E$4-2*MAX($E$5,D17*$K$2)))</f>
        <v/>
      </c>
      <c r="G17" s="18">
        <f>IF(B17="","",$K$3+$E$4*(ROUND(($E$2-$E$6)/$E$3,0)-(ROW()-9)))</f>
        <v/>
      </c>
      <c r="H17" s="16">
        <f>IF(B17="","",IF((ROUND(($E$2-$E$6)/$E$3,0)-(ROW()-9))&gt;=0,($K$3*$E$2+$E$4*(ROUND(($E$2-$E$6)/$E$3,0)-(ROW()-9))*($E$2-$E$3*((ROUND(($E$2-$E$6)/$E$3,0)-(ROW()-9))+1)/2))/($K$3+$E$4*(ROUND(($E$2-$E$6)/$E$3,0)-(ROW()-9))),$E$2))</f>
        <v/>
      </c>
      <c r="I17" s="17">
        <f>IF(B17="","",G17*B17)</f>
        <v/>
      </c>
      <c r="J17" s="17">
        <f>IF(B17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7" s="17">
        <f>IF(B17="","",J17+I17)</f>
        <v/>
      </c>
      <c r="L17" s="19">
        <f>IF(B17="","",K17-($K$3*$E$2+$K$5))</f>
        <v/>
      </c>
    </row>
    <row r="18" ht="18" customHeight="1">
      <c r="A18" s="15">
        <f>IF(B18="","",ROW()-8)</f>
        <v/>
      </c>
      <c r="B18" s="16">
        <f>IF(ROUND($E$6+(ROW()-9)*$E$3,4)&lt;=$K$4,ROUND($E$6+(ROW()-9)*$E$3,4),"")</f>
        <v/>
      </c>
      <c r="C18" s="15">
        <f>IF(B18="","",IF(ROUND(B18,4)&lt;ROUND($E$2,4),"BUY",IF(ROUND(B18,4)&gt;ROUND($E$2,4),"SELL","CURRENT")))</f>
        <v/>
      </c>
      <c r="D18" s="17">
        <f>IF(B18="","",B18*$E$4)</f>
        <v/>
      </c>
      <c r="E18" s="17">
        <f>IF(B18="","",MAX($E$5,D18*$K$2))</f>
        <v/>
      </c>
      <c r="F18" s="17">
        <f>IF(B18="","",IF(C18="CURRENT","N/A",$E$3*$E$4-2*MAX($E$5,D18*$K$2)))</f>
        <v/>
      </c>
      <c r="G18" s="18">
        <f>IF(B18="","",$K$3+$E$4*(ROUND(($E$2-$E$6)/$E$3,0)-(ROW()-9)))</f>
        <v/>
      </c>
      <c r="H18" s="16">
        <f>IF(B18="","",IF((ROUND(($E$2-$E$6)/$E$3,0)-(ROW()-9))&gt;=0,($K$3*$E$2+$E$4*(ROUND(($E$2-$E$6)/$E$3,0)-(ROW()-9))*($E$2-$E$3*((ROUND(($E$2-$E$6)/$E$3,0)-(ROW()-9))+1)/2))/($K$3+$E$4*(ROUND(($E$2-$E$6)/$E$3,0)-(ROW()-9))),$E$2))</f>
        <v/>
      </c>
      <c r="I18" s="17">
        <f>IF(B18="","",G18*B18)</f>
        <v/>
      </c>
      <c r="J18" s="17">
        <f>IF(B18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8" s="17">
        <f>IF(B18="","",J18+I18)</f>
        <v/>
      </c>
      <c r="L18" s="19">
        <f>IF(B18="","",K18-($K$3*$E$2+$K$5))</f>
        <v/>
      </c>
    </row>
    <row r="19" ht="18" customHeight="1">
      <c r="A19" s="15">
        <f>IF(B19="","",ROW()-8)</f>
        <v/>
      </c>
      <c r="B19" s="16">
        <f>IF(ROUND($E$6+(ROW()-9)*$E$3,4)&lt;=$K$4,ROUND($E$6+(ROW()-9)*$E$3,4),"")</f>
        <v/>
      </c>
      <c r="C19" s="15">
        <f>IF(B19="","",IF(ROUND(B19,4)&lt;ROUND($E$2,4),"BUY",IF(ROUND(B19,4)&gt;ROUND($E$2,4),"SELL","CURRENT")))</f>
        <v/>
      </c>
      <c r="D19" s="17">
        <f>IF(B19="","",B19*$E$4)</f>
        <v/>
      </c>
      <c r="E19" s="17">
        <f>IF(B19="","",MAX($E$5,D19*$K$2))</f>
        <v/>
      </c>
      <c r="F19" s="17">
        <f>IF(B19="","",IF(C19="CURRENT","N/A",$E$3*$E$4-2*MAX($E$5,D19*$K$2)))</f>
        <v/>
      </c>
      <c r="G19" s="18">
        <f>IF(B19="","",$K$3+$E$4*(ROUND(($E$2-$E$6)/$E$3,0)-(ROW()-9)))</f>
        <v/>
      </c>
      <c r="H19" s="16">
        <f>IF(B19="","",IF((ROUND(($E$2-$E$6)/$E$3,0)-(ROW()-9))&gt;=0,($K$3*$E$2+$E$4*(ROUND(($E$2-$E$6)/$E$3,0)-(ROW()-9))*($E$2-$E$3*((ROUND(($E$2-$E$6)/$E$3,0)-(ROW()-9))+1)/2))/($K$3+$E$4*(ROUND(($E$2-$E$6)/$E$3,0)-(ROW()-9))),$E$2))</f>
        <v/>
      </c>
      <c r="I19" s="17">
        <f>IF(B19="","",G19*B19)</f>
        <v/>
      </c>
      <c r="J19" s="17">
        <f>IF(B19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19" s="17">
        <f>IF(B19="","",J19+I19)</f>
        <v/>
      </c>
      <c r="L19" s="19">
        <f>IF(B19="","",K19-($K$3*$E$2+$K$5))</f>
        <v/>
      </c>
    </row>
    <row r="20" ht="18" customHeight="1">
      <c r="A20" s="15">
        <f>IF(B20="","",ROW()-8)</f>
        <v/>
      </c>
      <c r="B20" s="16">
        <f>IF(ROUND($E$6+(ROW()-9)*$E$3,4)&lt;=$K$4,ROUND($E$6+(ROW()-9)*$E$3,4),"")</f>
        <v/>
      </c>
      <c r="C20" s="15">
        <f>IF(B20="","",IF(ROUND(B20,4)&lt;ROUND($E$2,4),"BUY",IF(ROUND(B20,4)&gt;ROUND($E$2,4),"SELL","CURRENT")))</f>
        <v/>
      </c>
      <c r="D20" s="17">
        <f>IF(B20="","",B20*$E$4)</f>
        <v/>
      </c>
      <c r="E20" s="17">
        <f>IF(B20="","",MAX($E$5,D20*$K$2))</f>
        <v/>
      </c>
      <c r="F20" s="17">
        <f>IF(B20="","",IF(C20="CURRENT","N/A",$E$3*$E$4-2*MAX($E$5,D20*$K$2)))</f>
        <v/>
      </c>
      <c r="G20" s="18">
        <f>IF(B20="","",$K$3+$E$4*(ROUND(($E$2-$E$6)/$E$3,0)-(ROW()-9)))</f>
        <v/>
      </c>
      <c r="H20" s="16">
        <f>IF(B20="","",IF((ROUND(($E$2-$E$6)/$E$3,0)-(ROW()-9))&gt;=0,($K$3*$E$2+$E$4*(ROUND(($E$2-$E$6)/$E$3,0)-(ROW()-9))*($E$2-$E$3*((ROUND(($E$2-$E$6)/$E$3,0)-(ROW()-9))+1)/2))/($K$3+$E$4*(ROUND(($E$2-$E$6)/$E$3,0)-(ROW()-9))),$E$2))</f>
        <v/>
      </c>
      <c r="I20" s="17">
        <f>IF(B20="","",G20*B20)</f>
        <v/>
      </c>
      <c r="J20" s="17">
        <f>IF(B20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0" s="17">
        <f>IF(B20="","",J20+I20)</f>
        <v/>
      </c>
      <c r="L20" s="19">
        <f>IF(B20="","",K20-($K$3*$E$2+$K$5))</f>
        <v/>
      </c>
    </row>
    <row r="21" ht="18" customHeight="1">
      <c r="A21" s="15">
        <f>IF(B21="","",ROW()-8)</f>
        <v/>
      </c>
      <c r="B21" s="16">
        <f>IF(ROUND($E$6+(ROW()-9)*$E$3,4)&lt;=$K$4,ROUND($E$6+(ROW()-9)*$E$3,4),"")</f>
        <v/>
      </c>
      <c r="C21" s="15">
        <f>IF(B21="","",IF(ROUND(B21,4)&lt;ROUND($E$2,4),"BUY",IF(ROUND(B21,4)&gt;ROUND($E$2,4),"SELL","CURRENT")))</f>
        <v/>
      </c>
      <c r="D21" s="17">
        <f>IF(B21="","",B21*$E$4)</f>
        <v/>
      </c>
      <c r="E21" s="17">
        <f>IF(B21="","",MAX($E$5,D21*$K$2))</f>
        <v/>
      </c>
      <c r="F21" s="17">
        <f>IF(B21="","",IF(C21="CURRENT","N/A",$E$3*$E$4-2*MAX($E$5,D21*$K$2)))</f>
        <v/>
      </c>
      <c r="G21" s="18">
        <f>IF(B21="","",$K$3+$E$4*(ROUND(($E$2-$E$6)/$E$3,0)-(ROW()-9)))</f>
        <v/>
      </c>
      <c r="H21" s="16">
        <f>IF(B21="","",IF((ROUND(($E$2-$E$6)/$E$3,0)-(ROW()-9))&gt;=0,($K$3*$E$2+$E$4*(ROUND(($E$2-$E$6)/$E$3,0)-(ROW()-9))*($E$2-$E$3*((ROUND(($E$2-$E$6)/$E$3,0)-(ROW()-9))+1)/2))/($K$3+$E$4*(ROUND(($E$2-$E$6)/$E$3,0)-(ROW()-9))),$E$2))</f>
        <v/>
      </c>
      <c r="I21" s="17">
        <f>IF(B21="","",G21*B21)</f>
        <v/>
      </c>
      <c r="J21" s="17">
        <f>IF(B21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1" s="17">
        <f>IF(B21="","",J21+I21)</f>
        <v/>
      </c>
      <c r="L21" s="19">
        <f>IF(B21="","",K21-($K$3*$E$2+$K$5))</f>
        <v/>
      </c>
    </row>
    <row r="22" ht="18" customHeight="1">
      <c r="A22" s="15">
        <f>IF(B22="","",ROW()-8)</f>
        <v/>
      </c>
      <c r="B22" s="16">
        <f>IF(ROUND($E$6+(ROW()-9)*$E$3,4)&lt;=$K$4,ROUND($E$6+(ROW()-9)*$E$3,4),"")</f>
        <v/>
      </c>
      <c r="C22" s="15">
        <f>IF(B22="","",IF(ROUND(B22,4)&lt;ROUND($E$2,4),"BUY",IF(ROUND(B22,4)&gt;ROUND($E$2,4),"SELL","CURRENT")))</f>
        <v/>
      </c>
      <c r="D22" s="17">
        <f>IF(B22="","",B22*$E$4)</f>
        <v/>
      </c>
      <c r="E22" s="17">
        <f>IF(B22="","",MAX($E$5,D22*$K$2))</f>
        <v/>
      </c>
      <c r="F22" s="17">
        <f>IF(B22="","",IF(C22="CURRENT","N/A",$E$3*$E$4-2*MAX($E$5,D22*$K$2)))</f>
        <v/>
      </c>
      <c r="G22" s="18">
        <f>IF(B22="","",$K$3+$E$4*(ROUND(($E$2-$E$6)/$E$3,0)-(ROW()-9)))</f>
        <v/>
      </c>
      <c r="H22" s="16">
        <f>IF(B22="","",IF((ROUND(($E$2-$E$6)/$E$3,0)-(ROW()-9))&gt;=0,($K$3*$E$2+$E$4*(ROUND(($E$2-$E$6)/$E$3,0)-(ROW()-9))*($E$2-$E$3*((ROUND(($E$2-$E$6)/$E$3,0)-(ROW()-9))+1)/2))/($K$3+$E$4*(ROUND(($E$2-$E$6)/$E$3,0)-(ROW()-9))),$E$2))</f>
        <v/>
      </c>
      <c r="I22" s="17">
        <f>IF(B22="","",G22*B22)</f>
        <v/>
      </c>
      <c r="J22" s="17">
        <f>IF(B22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2" s="17">
        <f>IF(B22="","",J22+I22)</f>
        <v/>
      </c>
      <c r="L22" s="19">
        <f>IF(B22="","",K22-($K$3*$E$2+$K$5))</f>
        <v/>
      </c>
    </row>
    <row r="23" ht="18" customHeight="1">
      <c r="A23" s="15">
        <f>IF(B23="","",ROW()-8)</f>
        <v/>
      </c>
      <c r="B23" s="16">
        <f>IF(ROUND($E$6+(ROW()-9)*$E$3,4)&lt;=$K$4,ROUND($E$6+(ROW()-9)*$E$3,4),"")</f>
        <v/>
      </c>
      <c r="C23" s="15">
        <f>IF(B23="","",IF(ROUND(B23,4)&lt;ROUND($E$2,4),"BUY",IF(ROUND(B23,4)&gt;ROUND($E$2,4),"SELL","CURRENT")))</f>
        <v/>
      </c>
      <c r="D23" s="17">
        <f>IF(B23="","",B23*$E$4)</f>
        <v/>
      </c>
      <c r="E23" s="17">
        <f>IF(B23="","",MAX($E$5,D23*$K$2))</f>
        <v/>
      </c>
      <c r="F23" s="17">
        <f>IF(B23="","",IF(C23="CURRENT","N/A",$E$3*$E$4-2*MAX($E$5,D23*$K$2)))</f>
        <v/>
      </c>
      <c r="G23" s="18">
        <f>IF(B23="","",$K$3+$E$4*(ROUND(($E$2-$E$6)/$E$3,0)-(ROW()-9)))</f>
        <v/>
      </c>
      <c r="H23" s="16">
        <f>IF(B23="","",IF((ROUND(($E$2-$E$6)/$E$3,0)-(ROW()-9))&gt;=0,($K$3*$E$2+$E$4*(ROUND(($E$2-$E$6)/$E$3,0)-(ROW()-9))*($E$2-$E$3*((ROUND(($E$2-$E$6)/$E$3,0)-(ROW()-9))+1)/2))/($K$3+$E$4*(ROUND(($E$2-$E$6)/$E$3,0)-(ROW()-9))),$E$2))</f>
        <v/>
      </c>
      <c r="I23" s="17">
        <f>IF(B23="","",G23*B23)</f>
        <v/>
      </c>
      <c r="J23" s="17">
        <f>IF(B23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3" s="17">
        <f>IF(B23="","",J23+I23)</f>
        <v/>
      </c>
      <c r="L23" s="19">
        <f>IF(B23="","",K23-($K$3*$E$2+$K$5))</f>
        <v/>
      </c>
    </row>
    <row r="24" ht="18" customHeight="1">
      <c r="A24" s="15">
        <f>IF(B24="","",ROW()-8)</f>
        <v/>
      </c>
      <c r="B24" s="16">
        <f>IF(ROUND($E$6+(ROW()-9)*$E$3,4)&lt;=$K$4,ROUND($E$6+(ROW()-9)*$E$3,4),"")</f>
        <v/>
      </c>
      <c r="C24" s="15">
        <f>IF(B24="","",IF(ROUND(B24,4)&lt;ROUND($E$2,4),"BUY",IF(ROUND(B24,4)&gt;ROUND($E$2,4),"SELL","CURRENT")))</f>
        <v/>
      </c>
      <c r="D24" s="17">
        <f>IF(B24="","",B24*$E$4)</f>
        <v/>
      </c>
      <c r="E24" s="17">
        <f>IF(B24="","",MAX($E$5,D24*$K$2))</f>
        <v/>
      </c>
      <c r="F24" s="17">
        <f>IF(B24="","",IF(C24="CURRENT","N/A",$E$3*$E$4-2*MAX($E$5,D24*$K$2)))</f>
        <v/>
      </c>
      <c r="G24" s="18">
        <f>IF(B24="","",$K$3+$E$4*(ROUND(($E$2-$E$6)/$E$3,0)-(ROW()-9)))</f>
        <v/>
      </c>
      <c r="H24" s="16">
        <f>IF(B24="","",IF((ROUND(($E$2-$E$6)/$E$3,0)-(ROW()-9))&gt;=0,($K$3*$E$2+$E$4*(ROUND(($E$2-$E$6)/$E$3,0)-(ROW()-9))*($E$2-$E$3*((ROUND(($E$2-$E$6)/$E$3,0)-(ROW()-9))+1)/2))/($K$3+$E$4*(ROUND(($E$2-$E$6)/$E$3,0)-(ROW()-9))),$E$2))</f>
        <v/>
      </c>
      <c r="I24" s="17">
        <f>IF(B24="","",G24*B24)</f>
        <v/>
      </c>
      <c r="J24" s="17">
        <f>IF(B24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4" s="17">
        <f>IF(B24="","",J24+I24)</f>
        <v/>
      </c>
      <c r="L24" s="19">
        <f>IF(B24="","",K24-($K$3*$E$2+$K$5))</f>
        <v/>
      </c>
    </row>
    <row r="25" ht="18" customHeight="1">
      <c r="A25" s="15">
        <f>IF(B25="","",ROW()-8)</f>
        <v/>
      </c>
      <c r="B25" s="16">
        <f>IF(ROUND($E$6+(ROW()-9)*$E$3,4)&lt;=$K$4,ROUND($E$6+(ROW()-9)*$E$3,4),"")</f>
        <v/>
      </c>
      <c r="C25" s="15">
        <f>IF(B25="","",IF(ROUND(B25,4)&lt;ROUND($E$2,4),"BUY",IF(ROUND(B25,4)&gt;ROUND($E$2,4),"SELL","CURRENT")))</f>
        <v/>
      </c>
      <c r="D25" s="17">
        <f>IF(B25="","",B25*$E$4)</f>
        <v/>
      </c>
      <c r="E25" s="17">
        <f>IF(B25="","",MAX($E$5,D25*$K$2))</f>
        <v/>
      </c>
      <c r="F25" s="17">
        <f>IF(B25="","",IF(C25="CURRENT","N/A",$E$3*$E$4-2*MAX($E$5,D25*$K$2)))</f>
        <v/>
      </c>
      <c r="G25" s="18">
        <f>IF(B25="","",$K$3+$E$4*(ROUND(($E$2-$E$6)/$E$3,0)-(ROW()-9)))</f>
        <v/>
      </c>
      <c r="H25" s="16">
        <f>IF(B25="","",IF((ROUND(($E$2-$E$6)/$E$3,0)-(ROW()-9))&gt;=0,($K$3*$E$2+$E$4*(ROUND(($E$2-$E$6)/$E$3,0)-(ROW()-9))*($E$2-$E$3*((ROUND(($E$2-$E$6)/$E$3,0)-(ROW()-9))+1)/2))/($K$3+$E$4*(ROUND(($E$2-$E$6)/$E$3,0)-(ROW()-9))),$E$2))</f>
        <v/>
      </c>
      <c r="I25" s="17">
        <f>IF(B25="","",G25*B25)</f>
        <v/>
      </c>
      <c r="J25" s="17">
        <f>IF(B25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5" s="17">
        <f>IF(B25="","",J25+I25)</f>
        <v/>
      </c>
      <c r="L25" s="19">
        <f>IF(B25="","",K25-($K$3*$E$2+$K$5))</f>
        <v/>
      </c>
    </row>
    <row r="26" ht="18" customHeight="1">
      <c r="A26" s="15">
        <f>IF(B26="","",ROW()-8)</f>
        <v/>
      </c>
      <c r="B26" s="16">
        <f>IF(ROUND($E$6+(ROW()-9)*$E$3,4)&lt;=$K$4,ROUND($E$6+(ROW()-9)*$E$3,4),"")</f>
        <v/>
      </c>
      <c r="C26" s="15">
        <f>IF(B26="","",IF(ROUND(B26,4)&lt;ROUND($E$2,4),"BUY",IF(ROUND(B26,4)&gt;ROUND($E$2,4),"SELL","CURRENT")))</f>
        <v/>
      </c>
      <c r="D26" s="17">
        <f>IF(B26="","",B26*$E$4)</f>
        <v/>
      </c>
      <c r="E26" s="17">
        <f>IF(B26="","",MAX($E$5,D26*$K$2))</f>
        <v/>
      </c>
      <c r="F26" s="17">
        <f>IF(B26="","",IF(C26="CURRENT","N/A",$E$3*$E$4-2*MAX($E$5,D26*$K$2)))</f>
        <v/>
      </c>
      <c r="G26" s="18">
        <f>IF(B26="","",$K$3+$E$4*(ROUND(($E$2-$E$6)/$E$3,0)-(ROW()-9)))</f>
        <v/>
      </c>
      <c r="H26" s="16">
        <f>IF(B26="","",IF((ROUND(($E$2-$E$6)/$E$3,0)-(ROW()-9))&gt;=0,($K$3*$E$2+$E$4*(ROUND(($E$2-$E$6)/$E$3,0)-(ROW()-9))*($E$2-$E$3*((ROUND(($E$2-$E$6)/$E$3,0)-(ROW()-9))+1)/2))/($K$3+$E$4*(ROUND(($E$2-$E$6)/$E$3,0)-(ROW()-9))),$E$2))</f>
        <v/>
      </c>
      <c r="I26" s="17">
        <f>IF(B26="","",G26*B26)</f>
        <v/>
      </c>
      <c r="J26" s="17">
        <f>IF(B26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6" s="17">
        <f>IF(B26="","",J26+I26)</f>
        <v/>
      </c>
      <c r="L26" s="19">
        <f>IF(B26="","",K26-($K$3*$E$2+$K$5))</f>
        <v/>
      </c>
    </row>
    <row r="27" ht="18" customHeight="1">
      <c r="A27" s="15">
        <f>IF(B27="","",ROW()-8)</f>
        <v/>
      </c>
      <c r="B27" s="16">
        <f>IF(ROUND($E$6+(ROW()-9)*$E$3,4)&lt;=$K$4,ROUND($E$6+(ROW()-9)*$E$3,4),"")</f>
        <v/>
      </c>
      <c r="C27" s="15">
        <f>IF(B27="","",IF(ROUND(B27,4)&lt;ROUND($E$2,4),"BUY",IF(ROUND(B27,4)&gt;ROUND($E$2,4),"SELL","CURRENT")))</f>
        <v/>
      </c>
      <c r="D27" s="17">
        <f>IF(B27="","",B27*$E$4)</f>
        <v/>
      </c>
      <c r="E27" s="17">
        <f>IF(B27="","",MAX($E$5,D27*$K$2))</f>
        <v/>
      </c>
      <c r="F27" s="17">
        <f>IF(B27="","",IF(C27="CURRENT","N/A",$E$3*$E$4-2*MAX($E$5,D27*$K$2)))</f>
        <v/>
      </c>
      <c r="G27" s="18">
        <f>IF(B27="","",$K$3+$E$4*(ROUND(($E$2-$E$6)/$E$3,0)-(ROW()-9)))</f>
        <v/>
      </c>
      <c r="H27" s="16">
        <f>IF(B27="","",IF((ROUND(($E$2-$E$6)/$E$3,0)-(ROW()-9))&gt;=0,($K$3*$E$2+$E$4*(ROUND(($E$2-$E$6)/$E$3,0)-(ROW()-9))*($E$2-$E$3*((ROUND(($E$2-$E$6)/$E$3,0)-(ROW()-9))+1)/2))/($K$3+$E$4*(ROUND(($E$2-$E$6)/$E$3,0)-(ROW()-9))),$E$2))</f>
        <v/>
      </c>
      <c r="I27" s="17">
        <f>IF(B27="","",G27*B27)</f>
        <v/>
      </c>
      <c r="J27" s="17">
        <f>IF(B27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7" s="17">
        <f>IF(B27="","",J27+I27)</f>
        <v/>
      </c>
      <c r="L27" s="19">
        <f>IF(B27="","",K27-($K$3*$E$2+$K$5))</f>
        <v/>
      </c>
    </row>
    <row r="28" ht="18" customHeight="1">
      <c r="A28" s="15">
        <f>IF(B28="","",ROW()-8)</f>
        <v/>
      </c>
      <c r="B28" s="16">
        <f>IF(ROUND($E$6+(ROW()-9)*$E$3,4)&lt;=$K$4,ROUND($E$6+(ROW()-9)*$E$3,4),"")</f>
        <v/>
      </c>
      <c r="C28" s="15">
        <f>IF(B28="","",IF(ROUND(B28,4)&lt;ROUND($E$2,4),"BUY",IF(ROUND(B28,4)&gt;ROUND($E$2,4),"SELL","CURRENT")))</f>
        <v/>
      </c>
      <c r="D28" s="17">
        <f>IF(B28="","",B28*$E$4)</f>
        <v/>
      </c>
      <c r="E28" s="17">
        <f>IF(B28="","",MAX($E$5,D28*$K$2))</f>
        <v/>
      </c>
      <c r="F28" s="17">
        <f>IF(B28="","",IF(C28="CURRENT","N/A",$E$3*$E$4-2*MAX($E$5,D28*$K$2)))</f>
        <v/>
      </c>
      <c r="G28" s="18">
        <f>IF(B28="","",$K$3+$E$4*(ROUND(($E$2-$E$6)/$E$3,0)-(ROW()-9)))</f>
        <v/>
      </c>
      <c r="H28" s="16">
        <f>IF(B28="","",IF((ROUND(($E$2-$E$6)/$E$3,0)-(ROW()-9))&gt;=0,($K$3*$E$2+$E$4*(ROUND(($E$2-$E$6)/$E$3,0)-(ROW()-9))*($E$2-$E$3*((ROUND(($E$2-$E$6)/$E$3,0)-(ROW()-9))+1)/2))/($K$3+$E$4*(ROUND(($E$2-$E$6)/$E$3,0)-(ROW()-9))),$E$2))</f>
        <v/>
      </c>
      <c r="I28" s="17">
        <f>IF(B28="","",G28*B28)</f>
        <v/>
      </c>
      <c r="J28" s="17">
        <f>IF(B28="","",IF((ROUND(($E$2-$E$6)/$E$3,0)-(ROW()-9))&gt;=0,$K$5-$E$4*(ROUND(($E$2-$E$6)/$E$3,0)-(ROW()-9))*($E$2-$E$3*((ROUND(($E$2-$E$6)/$E$3,0)-(ROW()-9))+1)/2)-(ROUND(($E$2-$E$6)/$E$3,0)-(ROW()-9))*MAX($E$5,($E$2-$E$3*((ROUND(($E$2-$E$6)/$E$3,0)-(ROW()-9))+1)/2)*$E$4*$K$2),$K$5+$E$4*(-(ROUND(($E$2-$E$6)/$E$3,0)-(ROW()-9)))*($E$2+$E$3*(-(ROUND(($E$2-$E$6)/$E$3,0)-(ROW()-9))+1)/2)-(-(ROUND(($E$2-$E$6)/$E$3,0)-(ROW()-9)))*MAX($E$5,($E$2+$E$3*(-(ROUND(($E$2-$E$6)/$E$3,0)-(ROW()-9))+1)/2)*$E$4*$K$2)))</f>
        <v/>
      </c>
      <c r="K28" s="17">
        <f>IF(B28="","",J28+I28)</f>
        <v/>
      </c>
      <c r="L28" s="19">
        <f>IF(B28="","",K28-($K$3*$E$2+$K$5))</f>
        <v/>
      </c>
    </row>
  </sheetData>
  <mergeCells count="14">
    <mergeCell ref="A5:D5"/>
    <mergeCell ref="G3:J3"/>
    <mergeCell ref="A6:D6"/>
    <mergeCell ref="A4:D4"/>
    <mergeCell ref="G4:J4"/>
    <mergeCell ref="A3:D3"/>
    <mergeCell ref="K1:L1"/>
    <mergeCell ref="G6:L6"/>
    <mergeCell ref="A1:I1"/>
    <mergeCell ref="I7:J7"/>
    <mergeCell ref="G2:J2"/>
    <mergeCell ref="A2:D2"/>
    <mergeCell ref="G5:J5"/>
    <mergeCell ref="F7:G7"/>
  </mergeCells>
  <conditionalFormatting sqref="A9:L28">
    <cfRule type="expression" priority="1" dxfId="0">
      <formula>$C9="CURRENT"</formula>
    </cfRule>
    <cfRule type="expression" priority="2" dxfId="1">
      <formula>AND(ISNUMBER($F9),$F9&lt;=0)</formula>
    </cfRule>
  </conditionalFormatting>
  <conditionalFormatting sqref="G9:G28">
    <cfRule type="expression" priority="3" dxfId="2">
      <formula>AND(ISNUMBER(G9),G9&lt;0)</formula>
    </cfRule>
  </conditionalFormatting>
  <conditionalFormatting sqref="C9:C28">
    <cfRule type="expression" priority="4" dxfId="3">
      <formula>$C9="BUY"</formula>
    </cfRule>
    <cfRule type="expression" priority="5" dxfId="4">
      <formula>$C9="SELL"</formula>
    </cfRule>
  </conditionalFormatting>
  <conditionalFormatting sqref="L9:L28">
    <cfRule type="expression" priority="6" dxfId="5">
      <formula>AND(ISNUMBER(L9),L9&gt;0)</formula>
    </cfRule>
    <cfRule type="expression" priority="7" dxfId="6">
      <formula>AND(ISNUMBER(L9),L9&lt;0)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2026-04-12T13:56:02Z</dcterms:created>
  <dcterms:modified xmlns:dcterms="http://purl.org/dc/terms/" xmlns:xsi="http://www.w3.org/2001/XMLSchema-instance" xsi:type="dcterms:W3CDTF">2026-04-12T13:56:02Z</dcterms:modified>
</cp:coreProperties>
</file>